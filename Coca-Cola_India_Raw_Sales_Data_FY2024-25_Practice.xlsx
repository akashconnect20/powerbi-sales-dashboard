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ca-Cola Sales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<sst xmlns="http://schemas.openxmlformats.org/spreadsheetml/2006/main" count="7170" uniqueCount="441">
  <si>
    <t xml:space="preserve">Order ID</t>
  </si>
  <si>
    <t xml:space="preserve">Order Date</t>
  </si>
  <si>
    <t xml:space="preserve">Region</t>
  </si>
  <si>
    <t xml:space="preserve">State</t>
  </si>
  <si>
    <t xml:space="preserve">City</t>
  </si>
  <si>
    <t xml:space="preserve">Sales Channel</t>
  </si>
  <si>
    <t xml:space="preserve">Distributor</t>
  </si>
  <si>
    <t xml:space="preserve">Company</t>
  </si>
  <si>
    <t xml:space="preserve">Category</t>
  </si>
  <si>
    <t xml:space="preserve">Product Name</t>
  </si>
  <si>
    <t xml:space="preserve">Pack Size</t>
  </si>
  <si>
    <t xml:space="preserve">Salesperson</t>
  </si>
  <si>
    <t xml:space="preserve">Units Sold</t>
  </si>
  <si>
    <t xml:space="preserve">MRP</t>
  </si>
  <si>
    <t xml:space="preserve">Unit Price</t>
  </si>
  <si>
    <t xml:space="preserve">Discount %</t>
  </si>
  <si>
    <t xml:space="preserve">Return Units</t>
  </si>
  <si>
    <t xml:space="preserve">Gross Sales Value</t>
  </si>
  <si>
    <t xml:space="preserve">Discount Value</t>
  </si>
  <si>
    <t xml:space="preserve">Net Sales Value</t>
  </si>
  <si>
    <t xml:space="preserve">18-05-2024</t>
  </si>
  <si>
    <t xml:space="preserve">North</t>
  </si>
  <si>
    <t xml:space="preserve">Delhi</t>
  </si>
  <si>
    <t xml:space="preserve">Dwarka</t>
  </si>
  <si>
    <t xml:space="preserve">Wholesale</t>
  </si>
  <si>
    <t xml:space="preserve">Bharat Traders</t>
  </si>
  <si>
    <t xml:space="preserve">Coca-Cola India</t>
  </si>
  <si>
    <t xml:space="preserve">Juices</t>
  </si>
  <si>
    <t xml:space="preserve">Maaza</t>
  </si>
  <si>
    <t xml:space="preserve">250ml</t>
  </si>
  <si>
    <t xml:space="preserve">Karan Mehta</t>
  </si>
  <si>
    <t xml:space="preserve">21-06-2024</t>
  </si>
  <si>
    <t xml:space="preserve">South</t>
  </si>
  <si>
    <t xml:space="preserve">Karnataka</t>
  </si>
  <si>
    <t xml:space="preserve">Mysuru</t>
  </si>
  <si>
    <t xml:space="preserve">E-commerce</t>
  </si>
  <si>
    <t xml:space="preserve">Delta Distribution</t>
  </si>
  <si>
    <t xml:space="preserve">Dairy</t>
  </si>
  <si>
    <t xml:space="preserve">VIO Flavoured Milk</t>
  </si>
  <si>
    <t xml:space="preserve">200ml</t>
  </si>
  <si>
    <t xml:space="preserve">23-04-2024</t>
  </si>
  <si>
    <t xml:space="preserve">West</t>
  </si>
  <si>
    <t xml:space="preserve">Gujarat</t>
  </si>
  <si>
    <t xml:space="preserve">Surat</t>
  </si>
  <si>
    <t xml:space="preserve">Water</t>
  </si>
  <si>
    <t xml:space="preserve">Kinley Water</t>
  </si>
  <si>
    <t xml:space="preserve">1L</t>
  </si>
  <si>
    <t xml:space="preserve">Amit Sharma</t>
  </si>
  <si>
    <t xml:space="preserve">24-04-2024</t>
  </si>
  <si>
    <t xml:space="preserve">Madhya Pradesh</t>
  </si>
  <si>
    <t xml:space="preserve">Indore</t>
  </si>
  <si>
    <t xml:space="preserve">Kirana Store</t>
  </si>
  <si>
    <t xml:space="preserve">Prime Mart Suppliers</t>
  </si>
  <si>
    <t xml:space="preserve">Divya Pillai</t>
  </si>
  <si>
    <t xml:space="preserve">29-09-2024</t>
  </si>
  <si>
    <t xml:space="preserve">Telangana</t>
  </si>
  <si>
    <t xml:space="preserve">Hyderabad</t>
  </si>
  <si>
    <t xml:space="preserve">Tea &amp; Coffee</t>
  </si>
  <si>
    <t xml:space="preserve">Georgia Tea</t>
  </si>
  <si>
    <t xml:space="preserve">180ml</t>
  </si>
  <si>
    <t xml:space="preserve">Priya Nair</t>
  </si>
  <si>
    <t xml:space="preserve">29-04-2024</t>
  </si>
  <si>
    <t xml:space="preserve">Om Sai Agencies</t>
  </si>
  <si>
    <t xml:space="preserve">600ml</t>
  </si>
  <si>
    <t xml:space="preserve">Suresh Kumar</t>
  </si>
  <si>
    <t xml:space="preserve">20-10-2024</t>
  </si>
  <si>
    <t xml:space="preserve">Tamil Nadu</t>
  </si>
  <si>
    <t xml:space="preserve">Coimbatore</t>
  </si>
  <si>
    <t xml:space="preserve">Agarwal Distributors</t>
  </si>
  <si>
    <t xml:space="preserve">Carbonated Drinks</t>
  </si>
  <si>
    <t xml:space="preserve">Thums Up</t>
  </si>
  <si>
    <t xml:space="preserve">750ml</t>
  </si>
  <si>
    <t xml:space="preserve">22-07-2024</t>
  </si>
  <si>
    <t xml:space="preserve">Maharashtra</t>
  </si>
  <si>
    <t xml:space="preserve">Pune</t>
  </si>
  <si>
    <t xml:space="preserve">13-10-2024</t>
  </si>
  <si>
    <t xml:space="preserve">Andhra Pradesh</t>
  </si>
  <si>
    <t xml:space="preserve">Visakhapatnam</t>
  </si>
  <si>
    <t xml:space="preserve">General Trade</t>
  </si>
  <si>
    <t xml:space="preserve">02-04-2024</t>
  </si>
  <si>
    <t xml:space="preserve">Bhopal</t>
  </si>
  <si>
    <t xml:space="preserve">Sprite</t>
  </si>
  <si>
    <t xml:space="preserve">Neha Singh</t>
  </si>
  <si>
    <t xml:space="preserve">07-12-2024</t>
  </si>
  <si>
    <t xml:space="preserve">East</t>
  </si>
  <si>
    <t xml:space="preserve">Bihar</t>
  </si>
  <si>
    <t xml:space="preserve">Patna</t>
  </si>
  <si>
    <t xml:space="preserve">Modern Trade</t>
  </si>
  <si>
    <t xml:space="preserve">29-12-2024</t>
  </si>
  <si>
    <t xml:space="preserve">20-03-2025</t>
  </si>
  <si>
    <t xml:space="preserve">Sunrise Wholesale</t>
  </si>
  <si>
    <t xml:space="preserve">Minute Maid Pulpy Orange</t>
  </si>
  <si>
    <t xml:space="preserve">27-01-2025</t>
  </si>
  <si>
    <t xml:space="preserve">Warangal</t>
  </si>
  <si>
    <t xml:space="preserve">Metro Retail Hub</t>
  </si>
  <si>
    <t xml:space="preserve">20-12-2024</t>
  </si>
  <si>
    <t xml:space="preserve">Vijayawada</t>
  </si>
  <si>
    <t xml:space="preserve">19-05-2024</t>
  </si>
  <si>
    <t xml:space="preserve">Minute Maid Mango</t>
  </si>
  <si>
    <t xml:space="preserve">Vikas Yadav</t>
  </si>
  <si>
    <t xml:space="preserve">06-08-2024</t>
  </si>
  <si>
    <t xml:space="preserve">Haryana</t>
  </si>
  <si>
    <t xml:space="preserve">Hisar</t>
  </si>
  <si>
    <t xml:space="preserve">Ganesh Provision Store</t>
  </si>
  <si>
    <t xml:space="preserve">Georgia Coffee</t>
  </si>
  <si>
    <t xml:space="preserve">07-01-2025</t>
  </si>
  <si>
    <t xml:space="preserve">Shree Balaji Enterprises</t>
  </si>
  <si>
    <t xml:space="preserve">Rohit Verma</t>
  </si>
  <si>
    <t xml:space="preserve">24-06-2024</t>
  </si>
  <si>
    <t xml:space="preserve">New Delhi</t>
  </si>
  <si>
    <t xml:space="preserve">30-08-2024</t>
  </si>
  <si>
    <t xml:space="preserve">500ml</t>
  </si>
  <si>
    <t xml:space="preserve">17-12-2024</t>
  </si>
  <si>
    <t xml:space="preserve">Chennai</t>
  </si>
  <si>
    <t xml:space="preserve">Limca</t>
  </si>
  <si>
    <t xml:space="preserve">01-11-2024</t>
  </si>
  <si>
    <t xml:space="preserve">Uttar Pradesh</t>
  </si>
  <si>
    <t xml:space="preserve">Lucknow</t>
  </si>
  <si>
    <t xml:space="preserve">08-05-2024</t>
  </si>
  <si>
    <t xml:space="preserve">Odisha</t>
  </si>
  <si>
    <t xml:space="preserve">Bhubaneswar</t>
  </si>
  <si>
    <t xml:space="preserve">07-10-2024</t>
  </si>
  <si>
    <t xml:space="preserve">Gurugram</t>
  </si>
  <si>
    <t xml:space="preserve">08-06-2024</t>
  </si>
  <si>
    <t xml:space="preserve">Gaya</t>
  </si>
  <si>
    <t xml:space="preserve">Reliance Smart Point</t>
  </si>
  <si>
    <t xml:space="preserve">Kinley Soda</t>
  </si>
  <si>
    <t xml:space="preserve">15-12-2024</t>
  </si>
  <si>
    <t xml:space="preserve">West Bengal</t>
  </si>
  <si>
    <t xml:space="preserve">Kolkata</t>
  </si>
  <si>
    <t xml:space="preserve">22-06-2024</t>
  </si>
  <si>
    <t xml:space="preserve">Ahmedabad</t>
  </si>
  <si>
    <t xml:space="preserve">Anjali Rao</t>
  </si>
  <si>
    <t xml:space="preserve">15-06-2024</t>
  </si>
  <si>
    <t xml:space="preserve">Coca-Cola</t>
  </si>
  <si>
    <t xml:space="preserve">12-01-2025</t>
  </si>
  <si>
    <t xml:space="preserve">Mumbai</t>
  </si>
  <si>
    <t xml:space="preserve">National FMCG Supply Co</t>
  </si>
  <si>
    <t xml:space="preserve">09-03-2025</t>
  </si>
  <si>
    <t xml:space="preserve">04-09-2024</t>
  </si>
  <si>
    <t xml:space="preserve">17-09-2024</t>
  </si>
  <si>
    <t xml:space="preserve">Bengaluru</t>
  </si>
  <si>
    <t xml:space="preserve">05-02-2025</t>
  </si>
  <si>
    <t xml:space="preserve">Krishna Marketing</t>
  </si>
  <si>
    <t xml:space="preserve">07-11-2024</t>
  </si>
  <si>
    <t xml:space="preserve">Faridabad</t>
  </si>
  <si>
    <t xml:space="preserve">23-03-2025</t>
  </si>
  <si>
    <t xml:space="preserve">Punjab</t>
  </si>
  <si>
    <t xml:space="preserve">Jalandhar</t>
  </si>
  <si>
    <t xml:space="preserve">25-08-2024</t>
  </si>
  <si>
    <t xml:space="preserve">24-08-2024</t>
  </si>
  <si>
    <t xml:space="preserve">Kerala</t>
  </si>
  <si>
    <t xml:space="preserve">Thiruvananthapuram</t>
  </si>
  <si>
    <t xml:space="preserve">20-11-2024</t>
  </si>
  <si>
    <t xml:space="preserve">08-02-2025</t>
  </si>
  <si>
    <t xml:space="preserve">05-12-2024</t>
  </si>
  <si>
    <t xml:space="preserve">17-06-2024</t>
  </si>
  <si>
    <t xml:space="preserve">02-11-2024</t>
  </si>
  <si>
    <t xml:space="preserve">Kochi</t>
  </si>
  <si>
    <t xml:space="preserve">05-01-2025</t>
  </si>
  <si>
    <t xml:space="preserve">26-11-2024</t>
  </si>
  <si>
    <t xml:space="preserve">Sneha Kapoor</t>
  </si>
  <si>
    <t xml:space="preserve">26-04-2024</t>
  </si>
  <si>
    <t xml:space="preserve">12-05-2024</t>
  </si>
  <si>
    <t xml:space="preserve">Jharkhand</t>
  </si>
  <si>
    <t xml:space="preserve">Jamshedpur</t>
  </si>
  <si>
    <t xml:space="preserve">05-08-2024</t>
  </si>
  <si>
    <t xml:space="preserve">Nagpur</t>
  </si>
  <si>
    <t xml:space="preserve">25-06-2024</t>
  </si>
  <si>
    <t xml:space="preserve">11-07-2024</t>
  </si>
  <si>
    <t xml:space="preserve">Agra</t>
  </si>
  <si>
    <t xml:space="preserve">Rajasthan</t>
  </si>
  <si>
    <t xml:space="preserve">Jaipur</t>
  </si>
  <si>
    <t xml:space="preserve">20-02-2025</t>
  </si>
  <si>
    <t xml:space="preserve">10-11-2024</t>
  </si>
  <si>
    <t xml:space="preserve">15-04-2024</t>
  </si>
  <si>
    <t xml:space="preserve">06-04-2024</t>
  </si>
  <si>
    <t xml:space="preserve">20-07-2024</t>
  </si>
  <si>
    <t xml:space="preserve">01-07-2024</t>
  </si>
  <si>
    <t xml:space="preserve">Vadodara</t>
  </si>
  <si>
    <t xml:space="preserve">07-04-2024</t>
  </si>
  <si>
    <t xml:space="preserve">08-12-2024</t>
  </si>
  <si>
    <t xml:space="preserve">24-12-2024</t>
  </si>
  <si>
    <t xml:space="preserve">15-02-2025</t>
  </si>
  <si>
    <t xml:space="preserve">17-04-2024</t>
  </si>
  <si>
    <t xml:space="preserve">29-05-2024</t>
  </si>
  <si>
    <t xml:space="preserve">03-06-2024</t>
  </si>
  <si>
    <t xml:space="preserve">Hubli</t>
  </si>
  <si>
    <t xml:space="preserve">04-02-2025</t>
  </si>
  <si>
    <t xml:space="preserve">22-12-2024</t>
  </si>
  <si>
    <t xml:space="preserve">24-10-2024</t>
  </si>
  <si>
    <t xml:space="preserve">14-07-2024</t>
  </si>
  <si>
    <t xml:space="preserve">Jodhpur</t>
  </si>
  <si>
    <t xml:space="preserve">07-09-2024</t>
  </si>
  <si>
    <t xml:space="preserve">20-08-2024</t>
  </si>
  <si>
    <t xml:space="preserve">15-11-2024</t>
  </si>
  <si>
    <t xml:space="preserve">29-07-2024</t>
  </si>
  <si>
    <t xml:space="preserve">28-01-2025</t>
  </si>
  <si>
    <t xml:space="preserve">27-11-2024</t>
  </si>
  <si>
    <t xml:space="preserve">Howrah</t>
  </si>
  <si>
    <t xml:space="preserve">19-04-2024</t>
  </si>
  <si>
    <t xml:space="preserve">Cuttack</t>
  </si>
  <si>
    <t xml:space="preserve">Fanta</t>
  </si>
  <si>
    <t xml:space="preserve">27-06-2024</t>
  </si>
  <si>
    <t xml:space="preserve">09-08-2024</t>
  </si>
  <si>
    <t xml:space="preserve">04-03-2025</t>
  </si>
  <si>
    <t xml:space="preserve">17-05-2024</t>
  </si>
  <si>
    <t xml:space="preserve">03-12-2024</t>
  </si>
  <si>
    <t xml:space="preserve">12-03-2025</t>
  </si>
  <si>
    <t xml:space="preserve">27-02-2025</t>
  </si>
  <si>
    <t xml:space="preserve">19-11-2024</t>
  </si>
  <si>
    <t xml:space="preserve">Ranchi</t>
  </si>
  <si>
    <t xml:space="preserve">21-10-2024</t>
  </si>
  <si>
    <t xml:space="preserve">06-05-2024</t>
  </si>
  <si>
    <t xml:space="preserve">07-08-2024</t>
  </si>
  <si>
    <t xml:space="preserve">04-06-2024</t>
  </si>
  <si>
    <t xml:space="preserve">28-10-2024</t>
  </si>
  <si>
    <t xml:space="preserve">24-07-2024</t>
  </si>
  <si>
    <t xml:space="preserve">19-02-2025</t>
  </si>
  <si>
    <t xml:space="preserve">27-04-2024</t>
  </si>
  <si>
    <t xml:space="preserve">18-08-2024</t>
  </si>
  <si>
    <t xml:space="preserve">04-04-2024</t>
  </si>
  <si>
    <t xml:space="preserve">18-12-2024</t>
  </si>
  <si>
    <t xml:space="preserve">30-06-2024</t>
  </si>
  <si>
    <t xml:space="preserve">18-02-2025</t>
  </si>
  <si>
    <t xml:space="preserve">10-05-2024</t>
  </si>
  <si>
    <t xml:space="preserve">29-03-2025</t>
  </si>
  <si>
    <t xml:space="preserve">14-03-2025</t>
  </si>
  <si>
    <t xml:space="preserve">Amritsar</t>
  </si>
  <si>
    <t xml:space="preserve">10-03-2025</t>
  </si>
  <si>
    <t xml:space="preserve">25-07-2024</t>
  </si>
  <si>
    <t xml:space="preserve">18-06-2024</t>
  </si>
  <si>
    <t xml:space="preserve">07-02-2025</t>
  </si>
  <si>
    <t xml:space="preserve">23-08-2024</t>
  </si>
  <si>
    <t xml:space="preserve">23-05-2024</t>
  </si>
  <si>
    <t xml:space="preserve">26-09-2024</t>
  </si>
  <si>
    <t xml:space="preserve">21-05-2024</t>
  </si>
  <si>
    <t xml:space="preserve">10-08-2024</t>
  </si>
  <si>
    <t xml:space="preserve">06-11-2024</t>
  </si>
  <si>
    <t xml:space="preserve">04-01-2025</t>
  </si>
  <si>
    <t xml:space="preserve">02-08-2024</t>
  </si>
  <si>
    <t xml:space="preserve">Panipat</t>
  </si>
  <si>
    <t xml:space="preserve">06-09-2024</t>
  </si>
  <si>
    <t xml:space="preserve">04-11-2024</t>
  </si>
  <si>
    <t xml:space="preserve">03-02-2025</t>
  </si>
  <si>
    <t xml:space="preserve">09-05-2024</t>
  </si>
  <si>
    <t xml:space="preserve">14-10-2024</t>
  </si>
  <si>
    <t xml:space="preserve">08-09-2024</t>
  </si>
  <si>
    <t xml:space="preserve">12-08-2024</t>
  </si>
  <si>
    <t xml:space="preserve">14-11-2024</t>
  </si>
  <si>
    <t xml:space="preserve">06-06-2024</t>
  </si>
  <si>
    <t xml:space="preserve">23-02-2025</t>
  </si>
  <si>
    <t xml:space="preserve">10-07-2024</t>
  </si>
  <si>
    <t xml:space="preserve">04-12-2024</t>
  </si>
  <si>
    <t xml:space="preserve">02-06-2024</t>
  </si>
  <si>
    <t xml:space="preserve">15-09-2024</t>
  </si>
  <si>
    <t xml:space="preserve">21-11-2024</t>
  </si>
  <si>
    <t xml:space="preserve">31-12-2024</t>
  </si>
  <si>
    <t xml:space="preserve">09-01-2025</t>
  </si>
  <si>
    <t xml:space="preserve">19-10-2024</t>
  </si>
  <si>
    <t xml:space="preserve">29-11-2024</t>
  </si>
  <si>
    <t xml:space="preserve">16-12-2024</t>
  </si>
  <si>
    <t xml:space="preserve">14-08-2024</t>
  </si>
  <si>
    <t xml:space="preserve">07-07-2024</t>
  </si>
  <si>
    <t xml:space="preserve">28-03-2025</t>
  </si>
  <si>
    <t xml:space="preserve">10-09-2024</t>
  </si>
  <si>
    <t xml:space="preserve">22-04-2024</t>
  </si>
  <si>
    <t xml:space="preserve">28-02-2025</t>
  </si>
  <si>
    <t xml:space="preserve">31-10-2024</t>
  </si>
  <si>
    <t xml:space="preserve">26-02-2025</t>
  </si>
  <si>
    <t xml:space="preserve">30-07-2024</t>
  </si>
  <si>
    <t xml:space="preserve">08-03-2025</t>
  </si>
  <si>
    <t xml:space="preserve">09-02-2025</t>
  </si>
  <si>
    <t xml:space="preserve">07-03-2025</t>
  </si>
  <si>
    <t xml:space="preserve">06-01-2025</t>
  </si>
  <si>
    <t xml:space="preserve">28-11-2024</t>
  </si>
  <si>
    <t xml:space="preserve">Ludhiana</t>
  </si>
  <si>
    <t xml:space="preserve">24-11-2024</t>
  </si>
  <si>
    <t xml:space="preserve">05-03-2025</t>
  </si>
  <si>
    <t xml:space="preserve">31-07-2024</t>
  </si>
  <si>
    <t xml:space="preserve">10-01-2025</t>
  </si>
  <si>
    <t xml:space="preserve">01-01-2025</t>
  </si>
  <si>
    <t xml:space="preserve">28-12-2024</t>
  </si>
  <si>
    <t xml:space="preserve">16-07-2024</t>
  </si>
  <si>
    <t xml:space="preserve">01-08-2024</t>
  </si>
  <si>
    <t xml:space="preserve">18-04-2024</t>
  </si>
  <si>
    <t xml:space="preserve">01-05-2024</t>
  </si>
  <si>
    <t xml:space="preserve">15-08-2024</t>
  </si>
  <si>
    <t xml:space="preserve">15-01-2025</t>
  </si>
  <si>
    <t xml:space="preserve">14-01-2025</t>
  </si>
  <si>
    <t xml:space="preserve">16-01-2025</t>
  </si>
  <si>
    <t xml:space="preserve">26-07-2024</t>
  </si>
  <si>
    <t xml:space="preserve">13-05-2024</t>
  </si>
  <si>
    <t xml:space="preserve">02-10-2024</t>
  </si>
  <si>
    <t xml:space="preserve">16-05-2024</t>
  </si>
  <si>
    <t xml:space="preserve">26-06-2024</t>
  </si>
  <si>
    <t xml:space="preserve">01-09-2024</t>
  </si>
  <si>
    <t xml:space="preserve">18-09-2024</t>
  </si>
  <si>
    <t xml:space="preserve">11-03-2025</t>
  </si>
  <si>
    <t xml:space="preserve">16-11-2024</t>
  </si>
  <si>
    <t xml:space="preserve">14-05-2024</t>
  </si>
  <si>
    <t xml:space="preserve">21-12-2024</t>
  </si>
  <si>
    <t xml:space="preserve">22-02-2025</t>
  </si>
  <si>
    <t xml:space="preserve">27-03-2025</t>
  </si>
  <si>
    <t xml:space="preserve">31-01-2025</t>
  </si>
  <si>
    <t xml:space="preserve">09-09-2024</t>
  </si>
  <si>
    <t xml:space="preserve">17-03-2025</t>
  </si>
  <si>
    <t xml:space="preserve">13-08-2024</t>
  </si>
  <si>
    <t xml:space="preserve">15-07-2024</t>
  </si>
  <si>
    <t xml:space="preserve">Noida</t>
  </si>
  <si>
    <t xml:space="preserve">16-03-2025</t>
  </si>
  <si>
    <t xml:space="preserve">19-03-2025</t>
  </si>
  <si>
    <t xml:space="preserve">15-03-2025</t>
  </si>
  <si>
    <t xml:space="preserve">27-09-2024</t>
  </si>
  <si>
    <t xml:space="preserve">27-12-2024</t>
  </si>
  <si>
    <t xml:space="preserve">09-04-2024</t>
  </si>
  <si>
    <t xml:space="preserve">26-03-2025</t>
  </si>
  <si>
    <t xml:space="preserve">06-10-2024</t>
  </si>
  <si>
    <t xml:space="preserve">19-09-2024</t>
  </si>
  <si>
    <t xml:space="preserve">29-01-2025</t>
  </si>
  <si>
    <t xml:space="preserve">18-11-2024</t>
  </si>
  <si>
    <t xml:space="preserve">26-10-2024</t>
  </si>
  <si>
    <t xml:space="preserve">29-06-2024</t>
  </si>
  <si>
    <t xml:space="preserve">04-05-2024</t>
  </si>
  <si>
    <t xml:space="preserve">Kanpur</t>
  </si>
  <si>
    <t xml:space="preserve">11-12-2024</t>
  </si>
  <si>
    <t xml:space="preserve">24-02-2025</t>
  </si>
  <si>
    <t xml:space="preserve">17-08-2024</t>
  </si>
  <si>
    <t xml:space="preserve">28-06-2024</t>
  </si>
  <si>
    <t xml:space="preserve">09-12-2024</t>
  </si>
  <si>
    <t xml:space="preserve">26-12-2024</t>
  </si>
  <si>
    <t xml:space="preserve">05-09-2024</t>
  </si>
  <si>
    <t xml:space="preserve">15-10-2024</t>
  </si>
  <si>
    <t xml:space="preserve">23-06-2024</t>
  </si>
  <si>
    <t xml:space="preserve">22-05-2024</t>
  </si>
  <si>
    <t xml:space="preserve">18-01-2025</t>
  </si>
  <si>
    <t xml:space="preserve">20-05-2024</t>
  </si>
  <si>
    <t xml:space="preserve">16-08-2024</t>
  </si>
  <si>
    <t xml:space="preserve">16-02-2025</t>
  </si>
  <si>
    <t xml:space="preserve">23-12-2024</t>
  </si>
  <si>
    <t xml:space="preserve">30-11-2024</t>
  </si>
  <si>
    <t xml:space="preserve">08-07-2024</t>
  </si>
  <si>
    <t xml:space="preserve">13-03-2025</t>
  </si>
  <si>
    <t xml:space="preserve">08-08-2024</t>
  </si>
  <si>
    <t xml:space="preserve">02-03-2025</t>
  </si>
  <si>
    <t xml:space="preserve">31-05-2024</t>
  </si>
  <si>
    <t xml:space="preserve">21-01-2025</t>
  </si>
  <si>
    <t xml:space="preserve">20-04-2024</t>
  </si>
  <si>
    <t xml:space="preserve">13-07-2024</t>
  </si>
  <si>
    <t xml:space="preserve">03-05-2024</t>
  </si>
  <si>
    <t xml:space="preserve">22-09-2024</t>
  </si>
  <si>
    <t xml:space="preserve">27-10-2024</t>
  </si>
  <si>
    <t xml:space="preserve">26-05-2024</t>
  </si>
  <si>
    <t xml:space="preserve">16-10-2024</t>
  </si>
  <si>
    <t xml:space="preserve">10-06-2024</t>
  </si>
  <si>
    <t xml:space="preserve">10-02-2025</t>
  </si>
  <si>
    <t xml:space="preserve">08-01-2025</t>
  </si>
  <si>
    <t xml:space="preserve">29-08-2024</t>
  </si>
  <si>
    <t xml:space="preserve">24-05-2024</t>
  </si>
  <si>
    <t xml:space="preserve">28-04-2024</t>
  </si>
  <si>
    <t xml:space="preserve">14-12-2024</t>
  </si>
  <si>
    <t xml:space="preserve">20-06-2024</t>
  </si>
  <si>
    <t xml:space="preserve">24-09-2024</t>
  </si>
  <si>
    <t xml:space="preserve">23-11-2024</t>
  </si>
  <si>
    <t xml:space="preserve">11-06-2024</t>
  </si>
  <si>
    <t xml:space="preserve">04-10-2024</t>
  </si>
  <si>
    <t xml:space="preserve">01-10-2024</t>
  </si>
  <si>
    <t xml:space="preserve">01-03-2025</t>
  </si>
  <si>
    <t xml:space="preserve">12-04-2024</t>
  </si>
  <si>
    <t xml:space="preserve">27-07-2024</t>
  </si>
  <si>
    <t xml:space="preserve">11-11-2024</t>
  </si>
  <si>
    <t xml:space="preserve">20-01-2025</t>
  </si>
  <si>
    <t xml:space="preserve">30-05-2024</t>
  </si>
  <si>
    <t xml:space="preserve">19-06-2024</t>
  </si>
  <si>
    <t xml:space="preserve">23-01-2025</t>
  </si>
  <si>
    <t xml:space="preserve">04-07-2024</t>
  </si>
  <si>
    <t xml:space="preserve">11-04-2024</t>
  </si>
  <si>
    <t xml:space="preserve">11-05-2024</t>
  </si>
  <si>
    <t xml:space="preserve">03-10-2024</t>
  </si>
  <si>
    <t xml:space="preserve">25-03-2025</t>
  </si>
  <si>
    <t xml:space="preserve">05-04-2024</t>
  </si>
  <si>
    <t xml:space="preserve">03-08-2024</t>
  </si>
  <si>
    <t xml:space="preserve">10-04-2024</t>
  </si>
  <si>
    <t xml:space="preserve">13-09-2024</t>
  </si>
  <si>
    <t xml:space="preserve">05-10-2024</t>
  </si>
  <si>
    <t xml:space="preserve">30-10-2024</t>
  </si>
  <si>
    <t xml:space="preserve">28-07-2024</t>
  </si>
  <si>
    <t xml:space="preserve">22-10-2024</t>
  </si>
  <si>
    <t xml:space="preserve">13-01-2025</t>
  </si>
  <si>
    <t xml:space="preserve">12-11-2024</t>
  </si>
  <si>
    <t xml:space="preserve">08-04-2024</t>
  </si>
  <si>
    <t xml:space="preserve">31-03-2025</t>
  </si>
  <si>
    <t xml:space="preserve">14-06-2024</t>
  </si>
  <si>
    <t xml:space="preserve">29-10-2024</t>
  </si>
  <si>
    <t xml:space="preserve">25-10-2024</t>
  </si>
  <si>
    <t xml:space="preserve">28-05-2024</t>
  </si>
  <si>
    <t xml:space="preserve">13-11-2024</t>
  </si>
  <si>
    <t xml:space="preserve">12-10-2024</t>
  </si>
  <si>
    <t xml:space="preserve">01-04-2024</t>
  </si>
  <si>
    <t xml:space="preserve">05-07-2024</t>
  </si>
  <si>
    <t xml:space="preserve">13-12-2024</t>
  </si>
  <si>
    <t xml:space="preserve">03-01-2025</t>
  </si>
  <si>
    <t xml:space="preserve">12-02-2025</t>
  </si>
  <si>
    <t xml:space="preserve">25-02-2025</t>
  </si>
  <si>
    <t xml:space="preserve">08-11-2024</t>
  </si>
  <si>
    <t xml:space="preserve">06-07-2024</t>
  </si>
  <si>
    <t xml:space="preserve">03-03-2025</t>
  </si>
  <si>
    <t xml:space="preserve">22-01-2025</t>
  </si>
  <si>
    <t xml:space="preserve">28-09-2024</t>
  </si>
  <si>
    <t xml:space="preserve">19-01-2025</t>
  </si>
  <si>
    <t xml:space="preserve">07-06-2024</t>
  </si>
  <si>
    <t xml:space="preserve">25-12-2024</t>
  </si>
  <si>
    <t xml:space="preserve">30-01-2025</t>
  </si>
  <si>
    <t xml:space="preserve">30-12-2024</t>
  </si>
  <si>
    <t xml:space="preserve">16-06-2024</t>
  </si>
  <si>
    <t xml:space="preserve">02-01-2025</t>
  </si>
  <si>
    <t xml:space="preserve">09-11-2024</t>
  </si>
  <si>
    <t xml:space="preserve">30-03-2025</t>
  </si>
  <si>
    <t xml:space="preserve">12-09-2024</t>
  </si>
  <si>
    <t xml:space="preserve">02-09-2024</t>
  </si>
  <si>
    <t xml:space="preserve">13-04-2024</t>
  </si>
  <si>
    <t xml:space="preserve">15-05-2024</t>
  </si>
  <si>
    <t xml:space="preserve">11-08-2024</t>
  </si>
  <si>
    <t xml:space="preserve">09-07-2024</t>
  </si>
  <si>
    <t xml:space="preserve">21-07-2024</t>
  </si>
  <si>
    <t xml:space="preserve">05-06-2024</t>
  </si>
  <si>
    <t xml:space="preserve">21-08-2024</t>
  </si>
  <si>
    <t xml:space="preserve">25-11-2024</t>
  </si>
  <si>
    <t xml:space="preserve">13-06-2024</t>
  </si>
  <si>
    <t xml:space="preserve">02-05-2024</t>
  </si>
  <si>
    <t xml:space="preserve">04-08-2024</t>
  </si>
  <si>
    <t xml:space="preserve">17-02-2025</t>
  </si>
  <si>
    <t xml:space="preserve">10-12-2024</t>
  </si>
  <si>
    <t xml:space="preserve">27-08-2024</t>
  </si>
  <si>
    <t xml:space="preserve">18-03-2025</t>
  </si>
  <si>
    <t xml:space="preserve">24-01-2025</t>
  </si>
  <si>
    <t xml:space="preserve">16-09-2024</t>
  </si>
  <si>
    <t xml:space="preserve">03-11-2024</t>
  </si>
  <si>
    <t xml:space="preserve">18-07-2024</t>
  </si>
  <si>
    <t xml:space="preserve">22-11-2024</t>
  </si>
  <si>
    <t xml:space="preserve">25-04-2024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</si>
</sst>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18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6" min="15" style="0" width="10"/>
    <col collapsed="false" customWidth="true" hidden="false" outlineLevel="0" max="17" min="17" style="0" width="12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800001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n">
        <v>64</v>
      </c>
      <c r="N2" s="3" t="n">
        <v>30</v>
      </c>
      <c r="O2" s="4" t="n">
        <v>27.98</v>
      </c>
      <c r="P2" s="5" t="n">
        <v>0</v>
      </c>
      <c r="Q2" s="2" t="n">
        <v>0</v>
      </c>
      <c r="R2" s="4" t="n">
        <f aca="false">M2*O2</f>
        <v>1790.72</v>
      </c>
      <c r="S2" s="4" t="n">
        <f aca="false">R2*(P2/100)</f>
        <v>0</v>
      </c>
      <c r="T2" s="4" t="n">
        <f aca="false">R2-S2</f>
        <v>1790.72</v>
      </c>
    </row>
    <row r="3" customFormat="false" ht="15" hidden="false" customHeight="false" outlineLevel="0" collapsed="false">
      <c r="A3" s="2" t="n">
        <v>800002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26</v>
      </c>
      <c r="I3" s="2" t="s">
        <v>37</v>
      </c>
      <c r="J3" s="2" t="s">
        <v>38</v>
      </c>
      <c r="K3" s="2" t="s">
        <v>39</v>
      </c>
      <c r="L3" s="2" t="s">
        <v>30</v>
      </c>
      <c r="M3" s="2" t="n">
        <v>234</v>
      </c>
      <c r="N3" s="3" t="n">
        <v>30</v>
      </c>
      <c r="O3" s="4" t="n">
        <v>26.43</v>
      </c>
      <c r="P3" s="5" t="n">
        <v>5</v>
      </c>
      <c r="Q3" s="2" t="n">
        <v>0</v>
      </c>
      <c r="R3" s="4" t="n">
        <f aca="false">M3*O3</f>
        <v>6184.62</v>
      </c>
      <c r="S3" s="4" t="n">
        <f aca="false">R3*(P3/100)</f>
        <v>309.231</v>
      </c>
      <c r="T3" s="4" t="n">
        <f aca="false">R3-S3</f>
        <v>5875.389</v>
      </c>
    </row>
    <row r="4" customFormat="false" ht="15" hidden="false" customHeight="false" outlineLevel="0" collapsed="false">
      <c r="A4" s="2" t="n">
        <v>800003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24</v>
      </c>
      <c r="G4" s="2" t="s">
        <v>25</v>
      </c>
      <c r="H4" s="2" t="s">
        <v>26</v>
      </c>
      <c r="I4" s="2" t="s">
        <v>44</v>
      </c>
      <c r="J4" s="2" t="s">
        <v>45</v>
      </c>
      <c r="K4" s="2" t="s">
        <v>46</v>
      </c>
      <c r="L4" s="2" t="s">
        <v>47</v>
      </c>
      <c r="M4" s="2" t="n">
        <v>214</v>
      </c>
      <c r="N4" s="3" t="n">
        <v>20</v>
      </c>
      <c r="O4" s="4" t="n">
        <v>17.27</v>
      </c>
      <c r="P4" s="5" t="n">
        <v>7.5</v>
      </c>
      <c r="Q4" s="2" t="n">
        <v>0</v>
      </c>
      <c r="R4" s="4" t="n">
        <f aca="false">M4*O4</f>
        <v>3695.78</v>
      </c>
      <c r="S4" s="4" t="n">
        <f aca="false">R4*(P4/100)</f>
        <v>277.1835</v>
      </c>
      <c r="T4" s="4" t="n">
        <f aca="false">R4-S4</f>
        <v>3418.5965</v>
      </c>
    </row>
    <row r="5" customFormat="false" ht="15" hidden="false" customHeight="false" outlineLevel="0" collapsed="false">
      <c r="A5" s="2" t="n">
        <v>800004</v>
      </c>
      <c r="B5" s="2" t="s">
        <v>48</v>
      </c>
      <c r="C5" s="2" t="s">
        <v>41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26</v>
      </c>
      <c r="I5" s="2" t="s">
        <v>37</v>
      </c>
      <c r="J5" s="2" t="s">
        <v>38</v>
      </c>
      <c r="K5" s="2" t="s">
        <v>39</v>
      </c>
      <c r="L5" s="2" t="s">
        <v>53</v>
      </c>
      <c r="M5" s="2" t="n">
        <v>473</v>
      </c>
      <c r="N5" s="3" t="n">
        <v>30</v>
      </c>
      <c r="O5" s="4" t="n">
        <v>29.12</v>
      </c>
      <c r="P5" s="5" t="n">
        <v>2</v>
      </c>
      <c r="Q5" s="2" t="n">
        <v>0</v>
      </c>
      <c r="R5" s="4" t="n">
        <f aca="false">M5*O5</f>
        <v>13773.76</v>
      </c>
      <c r="S5" s="4" t="n">
        <f aca="false">R5*(P5/100)</f>
        <v>275.4752</v>
      </c>
      <c r="T5" s="4" t="n">
        <f aca="false">R5-S5</f>
        <v>13498.2848</v>
      </c>
    </row>
    <row r="6" customFormat="false" ht="15" hidden="false" customHeight="false" outlineLevel="0" collapsed="false">
      <c r="A6" s="2" t="n">
        <v>800005</v>
      </c>
      <c r="B6" s="2" t="s">
        <v>54</v>
      </c>
      <c r="C6" s="2" t="s">
        <v>32</v>
      </c>
      <c r="D6" s="2" t="s">
        <v>55</v>
      </c>
      <c r="E6" s="2" t="s">
        <v>56</v>
      </c>
      <c r="F6" s="2" t="s">
        <v>24</v>
      </c>
      <c r="G6" s="2" t="s">
        <v>52</v>
      </c>
      <c r="H6" s="2" t="s">
        <v>26</v>
      </c>
      <c r="I6" s="2" t="s">
        <v>57</v>
      </c>
      <c r="J6" s="2" t="s">
        <v>58</v>
      </c>
      <c r="K6" s="2" t="s">
        <v>59</v>
      </c>
      <c r="L6" s="2" t="s">
        <v>60</v>
      </c>
      <c r="M6" s="2" t="n">
        <v>345</v>
      </c>
      <c r="N6" s="3" t="n">
        <v>20</v>
      </c>
      <c r="O6" s="4" t="n">
        <v>19.34</v>
      </c>
      <c r="P6" s="5" t="n">
        <v>0</v>
      </c>
      <c r="Q6" s="2" t="n">
        <v>1</v>
      </c>
      <c r="R6" s="4" t="n">
        <f aca="false">M6*O6</f>
        <v>6672.3</v>
      </c>
      <c r="S6" s="4" t="n">
        <f aca="false">R6*(P6/100)</f>
        <v>0</v>
      </c>
      <c r="T6" s="4" t="n">
        <f aca="false">R6-S6</f>
        <v>6672.3</v>
      </c>
    </row>
    <row r="7" customFormat="false" ht="15" hidden="false" customHeight="false" outlineLevel="0" collapsed="false">
      <c r="A7" s="2" t="n">
        <v>800006</v>
      </c>
      <c r="B7" s="2" t="s">
        <v>61</v>
      </c>
      <c r="C7" s="2" t="s">
        <v>32</v>
      </c>
      <c r="D7" s="2" t="s">
        <v>55</v>
      </c>
      <c r="E7" s="2" t="s">
        <v>56</v>
      </c>
      <c r="F7" s="2" t="s">
        <v>35</v>
      </c>
      <c r="G7" s="2" t="s">
        <v>62</v>
      </c>
      <c r="H7" s="2" t="s">
        <v>26</v>
      </c>
      <c r="I7" s="2" t="s">
        <v>27</v>
      </c>
      <c r="J7" s="2" t="s">
        <v>28</v>
      </c>
      <c r="K7" s="2" t="s">
        <v>63</v>
      </c>
      <c r="L7" s="2" t="s">
        <v>64</v>
      </c>
      <c r="M7" s="2" t="n">
        <v>256</v>
      </c>
      <c r="N7" s="3" t="n">
        <v>50</v>
      </c>
      <c r="O7" s="4" t="n">
        <v>45.16</v>
      </c>
      <c r="P7" s="5" t="n">
        <v>2</v>
      </c>
      <c r="Q7" s="2" t="n">
        <v>1</v>
      </c>
      <c r="R7" s="4" t="n">
        <f aca="false">M7*O7</f>
        <v>11560.96</v>
      </c>
      <c r="S7" s="4" t="n">
        <f aca="false">R7*(P7/100)</f>
        <v>231.2192</v>
      </c>
      <c r="T7" s="4" t="n">
        <f aca="false">R7-S7</f>
        <v>11329.7408</v>
      </c>
    </row>
    <row r="8" customFormat="false" ht="15" hidden="false" customHeight="false" outlineLevel="0" collapsed="false">
      <c r="A8" s="2" t="n">
        <v>800007</v>
      </c>
      <c r="B8" s="2" t="s">
        <v>65</v>
      </c>
      <c r="C8" s="2" t="s">
        <v>32</v>
      </c>
      <c r="D8" s="2" t="s">
        <v>66</v>
      </c>
      <c r="E8" s="2" t="s">
        <v>67</v>
      </c>
      <c r="F8" s="2" t="s">
        <v>51</v>
      </c>
      <c r="G8" s="2" t="s">
        <v>68</v>
      </c>
      <c r="H8" s="2" t="s">
        <v>26</v>
      </c>
      <c r="I8" s="2" t="s">
        <v>69</v>
      </c>
      <c r="J8" s="2" t="s">
        <v>70</v>
      </c>
      <c r="K8" s="2" t="s">
        <v>71</v>
      </c>
      <c r="L8" s="2" t="s">
        <v>53</v>
      </c>
      <c r="M8" s="2" t="n">
        <v>468</v>
      </c>
      <c r="N8" s="3" t="n">
        <v>40</v>
      </c>
      <c r="O8" s="4" t="n">
        <v>38.02</v>
      </c>
      <c r="P8" s="5" t="n">
        <v>2</v>
      </c>
      <c r="Q8" s="2" t="n">
        <v>2</v>
      </c>
      <c r="R8" s="4" t="n">
        <f aca="false">M8*O8</f>
        <v>17793.36</v>
      </c>
      <c r="S8" s="4" t="n">
        <f aca="false">R8*(P8/100)</f>
        <v>355.8672</v>
      </c>
      <c r="T8" s="4" t="n">
        <f aca="false">R8-S8</f>
        <v>17437.4928</v>
      </c>
    </row>
    <row r="9" customFormat="false" ht="15" hidden="false" customHeight="false" outlineLevel="0" collapsed="false">
      <c r="A9" s="2" t="n">
        <v>800008</v>
      </c>
      <c r="B9" s="2" t="s">
        <v>72</v>
      </c>
      <c r="C9" s="2" t="s">
        <v>41</v>
      </c>
      <c r="D9" s="2" t="s">
        <v>73</v>
      </c>
      <c r="E9" s="2" t="s">
        <v>74</v>
      </c>
      <c r="F9" s="2" t="s">
        <v>24</v>
      </c>
      <c r="G9" s="2" t="s">
        <v>25</v>
      </c>
      <c r="H9" s="2" t="s">
        <v>26</v>
      </c>
      <c r="I9" s="2" t="s">
        <v>37</v>
      </c>
      <c r="J9" s="2" t="s">
        <v>38</v>
      </c>
      <c r="K9" s="2" t="s">
        <v>39</v>
      </c>
      <c r="L9" s="2" t="s">
        <v>53</v>
      </c>
      <c r="M9" s="2" t="n">
        <v>239</v>
      </c>
      <c r="N9" s="3" t="n">
        <v>30</v>
      </c>
      <c r="O9" s="4" t="n">
        <v>29.27</v>
      </c>
      <c r="P9" s="5" t="n">
        <v>10</v>
      </c>
      <c r="Q9" s="2" t="n">
        <v>1</v>
      </c>
      <c r="R9" s="4" t="n">
        <f aca="false">M9*O9</f>
        <v>6995.53</v>
      </c>
      <c r="S9" s="4" t="n">
        <f aca="false">R9*(P9/100)</f>
        <v>699.553</v>
      </c>
      <c r="T9" s="4" t="n">
        <f aca="false">R9-S9</f>
        <v>6295.977</v>
      </c>
    </row>
    <row r="10" customFormat="false" ht="15" hidden="false" customHeight="false" outlineLevel="0" collapsed="false">
      <c r="A10" s="2" t="n">
        <v>800009</v>
      </c>
      <c r="B10" s="2" t="s">
        <v>75</v>
      </c>
      <c r="C10" s="2" t="s">
        <v>32</v>
      </c>
      <c r="D10" s="2" t="s">
        <v>76</v>
      </c>
      <c r="E10" s="2" t="s">
        <v>77</v>
      </c>
      <c r="F10" s="2" t="s">
        <v>78</v>
      </c>
      <c r="G10" s="2" t="s">
        <v>36</v>
      </c>
      <c r="H10" s="2" t="s">
        <v>26</v>
      </c>
      <c r="I10" s="2" t="s">
        <v>69</v>
      </c>
      <c r="J10" s="2" t="s">
        <v>70</v>
      </c>
      <c r="K10" s="2" t="s">
        <v>39</v>
      </c>
      <c r="L10" s="2" t="s">
        <v>64</v>
      </c>
      <c r="M10" s="2" t="n">
        <v>425</v>
      </c>
      <c r="N10" s="3" t="n">
        <v>20</v>
      </c>
      <c r="O10" s="4" t="n">
        <v>18.91</v>
      </c>
      <c r="P10" s="5" t="n">
        <v>0</v>
      </c>
      <c r="Q10" s="2" t="n">
        <v>1</v>
      </c>
      <c r="R10" s="4" t="n">
        <f aca="false">M10*O10</f>
        <v>8036.75</v>
      </c>
      <c r="S10" s="4" t="n">
        <f aca="false">R10*(P10/100)</f>
        <v>0</v>
      </c>
      <c r="T10" s="4" t="n">
        <f aca="false">R10-S10</f>
        <v>8036.75</v>
      </c>
    </row>
    <row r="11" customFormat="false" ht="15" hidden="false" customHeight="false" outlineLevel="0" collapsed="false">
      <c r="A11" s="2" t="n">
        <v>800010</v>
      </c>
      <c r="B11" s="2" t="s">
        <v>79</v>
      </c>
      <c r="C11" s="2" t="s">
        <v>41</v>
      </c>
      <c r="D11" s="2" t="s">
        <v>49</v>
      </c>
      <c r="E11" s="2" t="s">
        <v>80</v>
      </c>
      <c r="F11" s="2" t="s">
        <v>35</v>
      </c>
      <c r="G11" s="2" t="s">
        <v>36</v>
      </c>
      <c r="H11" s="2" t="s">
        <v>26</v>
      </c>
      <c r="I11" s="2" t="s">
        <v>69</v>
      </c>
      <c r="J11" s="2" t="s">
        <v>81</v>
      </c>
      <c r="K11" s="2" t="s">
        <v>39</v>
      </c>
      <c r="L11" s="2" t="s">
        <v>82</v>
      </c>
      <c r="M11" s="2" t="n">
        <v>77</v>
      </c>
      <c r="N11" s="3" t="n">
        <v>20</v>
      </c>
      <c r="O11" s="4" t="n">
        <v>17.82</v>
      </c>
      <c r="P11" s="5" t="n">
        <v>0</v>
      </c>
      <c r="Q11" s="2" t="n">
        <v>2</v>
      </c>
      <c r="R11" s="4" t="n">
        <f aca="false">M11*O11</f>
        <v>1372.14</v>
      </c>
      <c r="S11" s="4" t="n">
        <f aca="false">R11*(P11/100)</f>
        <v>0</v>
      </c>
      <c r="T11" s="4" t="n">
        <f aca="false">R11-S11</f>
        <v>1372.14</v>
      </c>
    </row>
    <row r="12" customFormat="false" ht="15" hidden="false" customHeight="false" outlineLevel="0" collapsed="false">
      <c r="A12" s="2" t="n">
        <v>800011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62</v>
      </c>
      <c r="H12" s="2" t="s">
        <v>26</v>
      </c>
      <c r="I12" s="2" t="s">
        <v>37</v>
      </c>
      <c r="J12" s="2" t="s">
        <v>38</v>
      </c>
      <c r="K12" s="2" t="s">
        <v>39</v>
      </c>
      <c r="L12" s="2" t="s">
        <v>64</v>
      </c>
      <c r="M12" s="2" t="n">
        <v>211</v>
      </c>
      <c r="N12" s="3" t="n">
        <v>30</v>
      </c>
      <c r="O12" s="4" t="n">
        <v>28.7</v>
      </c>
      <c r="P12" s="5" t="n">
        <v>0</v>
      </c>
      <c r="Q12" s="2" t="n">
        <v>1</v>
      </c>
      <c r="R12" s="4" t="n">
        <f aca="false">M12*O12</f>
        <v>6055.7</v>
      </c>
      <c r="S12" s="4" t="n">
        <f aca="false">R12*(P12/100)</f>
        <v>0</v>
      </c>
      <c r="T12" s="4" t="n">
        <f aca="false">R12-S12</f>
        <v>6055.7</v>
      </c>
    </row>
    <row r="13" customFormat="false" ht="15" hidden="false" customHeight="false" outlineLevel="0" collapsed="false">
      <c r="A13" s="2" t="n">
        <v>800012</v>
      </c>
      <c r="B13" s="2" t="s">
        <v>88</v>
      </c>
      <c r="C13" s="2" t="s">
        <v>21</v>
      </c>
      <c r="D13" s="2" t="s">
        <v>22</v>
      </c>
      <c r="E13" s="2" t="s">
        <v>23</v>
      </c>
      <c r="F13" s="2" t="s">
        <v>87</v>
      </c>
      <c r="G13" s="2" t="s">
        <v>25</v>
      </c>
      <c r="H13" s="2" t="s">
        <v>26</v>
      </c>
      <c r="I13" s="2" t="s">
        <v>69</v>
      </c>
      <c r="J13" s="2" t="s">
        <v>70</v>
      </c>
      <c r="K13" s="2" t="s">
        <v>71</v>
      </c>
      <c r="L13" s="2" t="s">
        <v>53</v>
      </c>
      <c r="M13" s="2" t="n">
        <v>60</v>
      </c>
      <c r="N13" s="3" t="n">
        <v>40</v>
      </c>
      <c r="O13" s="4" t="n">
        <v>34.48</v>
      </c>
      <c r="P13" s="5" t="n">
        <v>12.5</v>
      </c>
      <c r="Q13" s="2" t="n">
        <v>0</v>
      </c>
      <c r="R13" s="4" t="n">
        <f aca="false">M13*O13</f>
        <v>2068.8</v>
      </c>
      <c r="S13" s="4" t="n">
        <f aca="false">R13*(P13/100)</f>
        <v>258.6</v>
      </c>
      <c r="T13" s="4" t="n">
        <f aca="false">R13-S13</f>
        <v>1810.2</v>
      </c>
    </row>
    <row r="14" customFormat="false" ht="15" hidden="false" customHeight="false" outlineLevel="0" collapsed="false">
      <c r="A14" s="2" t="n">
        <v>800013</v>
      </c>
      <c r="B14" s="2" t="s">
        <v>89</v>
      </c>
      <c r="C14" s="2" t="s">
        <v>32</v>
      </c>
      <c r="D14" s="2" t="s">
        <v>33</v>
      </c>
      <c r="E14" s="2" t="s">
        <v>34</v>
      </c>
      <c r="F14" s="2" t="s">
        <v>51</v>
      </c>
      <c r="G14" s="2" t="s">
        <v>90</v>
      </c>
      <c r="H14" s="2" t="s">
        <v>26</v>
      </c>
      <c r="I14" s="2" t="s">
        <v>27</v>
      </c>
      <c r="J14" s="2" t="s">
        <v>91</v>
      </c>
      <c r="K14" s="2" t="s">
        <v>29</v>
      </c>
      <c r="L14" s="2" t="s">
        <v>30</v>
      </c>
      <c r="M14" s="2" t="n">
        <v>466</v>
      </c>
      <c r="N14" s="3" t="n">
        <v>35</v>
      </c>
      <c r="O14" s="4" t="n">
        <v>32.72</v>
      </c>
      <c r="P14" s="5" t="n">
        <v>2</v>
      </c>
      <c r="Q14" s="2" t="n">
        <v>3</v>
      </c>
      <c r="R14" s="4" t="n">
        <f aca="false">M14*O14</f>
        <v>15247.52</v>
      </c>
      <c r="S14" s="4" t="n">
        <f aca="false">R14*(P14/100)</f>
        <v>304.9504</v>
      </c>
      <c r="T14" s="4" t="n">
        <f aca="false">R14-S14</f>
        <v>14942.5696</v>
      </c>
    </row>
    <row r="15" customFormat="false" ht="15" hidden="false" customHeight="false" outlineLevel="0" collapsed="false">
      <c r="A15" s="2" t="n">
        <v>800014</v>
      </c>
      <c r="B15" s="2" t="s">
        <v>92</v>
      </c>
      <c r="C15" s="2" t="s">
        <v>32</v>
      </c>
      <c r="D15" s="2" t="s">
        <v>55</v>
      </c>
      <c r="E15" s="2" t="s">
        <v>93</v>
      </c>
      <c r="F15" s="2" t="s">
        <v>87</v>
      </c>
      <c r="G15" s="2" t="s">
        <v>94</v>
      </c>
      <c r="H15" s="2" t="s">
        <v>26</v>
      </c>
      <c r="I15" s="2" t="s">
        <v>37</v>
      </c>
      <c r="J15" s="2" t="s">
        <v>38</v>
      </c>
      <c r="K15" s="2" t="s">
        <v>39</v>
      </c>
      <c r="L15" s="2" t="s">
        <v>47</v>
      </c>
      <c r="M15" s="2" t="n">
        <v>146</v>
      </c>
      <c r="N15" s="3" t="n">
        <v>30</v>
      </c>
      <c r="O15" s="4" t="n">
        <v>26.44</v>
      </c>
      <c r="P15" s="5" t="n">
        <v>7.5</v>
      </c>
      <c r="Q15" s="2" t="n">
        <v>0</v>
      </c>
      <c r="R15" s="4" t="n">
        <f aca="false">M15*O15</f>
        <v>3860.24</v>
      </c>
      <c r="S15" s="4" t="n">
        <f aca="false">R15*(P15/100)</f>
        <v>289.518</v>
      </c>
      <c r="T15" s="4" t="n">
        <f aca="false">R15-S15</f>
        <v>3570.722</v>
      </c>
    </row>
    <row r="16" customFormat="false" ht="15" hidden="false" customHeight="false" outlineLevel="0" collapsed="false">
      <c r="A16" s="2" t="n">
        <v>800015</v>
      </c>
      <c r="B16" s="2" t="s">
        <v>95</v>
      </c>
      <c r="C16" s="2" t="s">
        <v>32</v>
      </c>
      <c r="D16" s="2" t="s">
        <v>76</v>
      </c>
      <c r="E16" s="2" t="s">
        <v>96</v>
      </c>
      <c r="F16" s="2" t="s">
        <v>78</v>
      </c>
      <c r="G16" s="2" t="s">
        <v>52</v>
      </c>
      <c r="H16" s="2" t="s">
        <v>26</v>
      </c>
      <c r="I16" s="2" t="s">
        <v>69</v>
      </c>
      <c r="J16" s="2" t="s">
        <v>70</v>
      </c>
      <c r="K16" s="2" t="s">
        <v>71</v>
      </c>
      <c r="L16" s="2" t="s">
        <v>47</v>
      </c>
      <c r="M16" s="2" t="n">
        <v>483</v>
      </c>
      <c r="N16" s="3" t="n">
        <v>40</v>
      </c>
      <c r="O16" s="4" t="n">
        <v>34.18</v>
      </c>
      <c r="P16" s="5" t="n">
        <v>7.5</v>
      </c>
      <c r="Q16" s="2" t="n">
        <v>0</v>
      </c>
      <c r="R16" s="4" t="n">
        <f aca="false">M16*O16</f>
        <v>16508.94</v>
      </c>
      <c r="S16" s="4" t="n">
        <f aca="false">R16*(P16/100)</f>
        <v>1238.1705</v>
      </c>
      <c r="T16" s="4" t="n">
        <f aca="false">R16-S16</f>
        <v>15270.7695</v>
      </c>
    </row>
    <row r="17" customFormat="false" ht="15" hidden="false" customHeight="false" outlineLevel="0" collapsed="false">
      <c r="A17" s="2" t="n">
        <v>800016</v>
      </c>
      <c r="B17" s="2" t="s">
        <v>97</v>
      </c>
      <c r="C17" s="2" t="s">
        <v>32</v>
      </c>
      <c r="D17" s="2" t="s">
        <v>55</v>
      </c>
      <c r="E17" s="2" t="s">
        <v>93</v>
      </c>
      <c r="F17" s="2" t="s">
        <v>24</v>
      </c>
      <c r="G17" s="2" t="s">
        <v>90</v>
      </c>
      <c r="H17" s="2" t="s">
        <v>26</v>
      </c>
      <c r="I17" s="2" t="s">
        <v>27</v>
      </c>
      <c r="J17" s="2" t="s">
        <v>98</v>
      </c>
      <c r="K17" s="2" t="s">
        <v>46</v>
      </c>
      <c r="L17" s="2" t="s">
        <v>99</v>
      </c>
      <c r="M17" s="2" t="n">
        <v>421</v>
      </c>
      <c r="N17" s="3" t="n">
        <v>99</v>
      </c>
      <c r="O17" s="4" t="n">
        <v>90.71</v>
      </c>
      <c r="P17" s="5" t="n">
        <v>10</v>
      </c>
      <c r="Q17" s="2" t="n">
        <v>0</v>
      </c>
      <c r="R17" s="4" t="n">
        <f aca="false">M17*O17</f>
        <v>38188.91</v>
      </c>
      <c r="S17" s="4" t="n">
        <f aca="false">R17*(P17/100)</f>
        <v>3818.891</v>
      </c>
      <c r="T17" s="4" t="n">
        <f aca="false">R17-S17</f>
        <v>34370.019</v>
      </c>
    </row>
    <row r="18" customFormat="false" ht="15" hidden="false" customHeight="false" outlineLevel="0" collapsed="false">
      <c r="A18" s="2" t="n">
        <v>800017</v>
      </c>
      <c r="B18" s="2" t="s">
        <v>100</v>
      </c>
      <c r="C18" s="2" t="s">
        <v>21</v>
      </c>
      <c r="D18" s="2" t="s">
        <v>101</v>
      </c>
      <c r="E18" s="2" t="s">
        <v>102</v>
      </c>
      <c r="F18" s="2" t="s">
        <v>51</v>
      </c>
      <c r="G18" s="2" t="s">
        <v>103</v>
      </c>
      <c r="H18" s="2" t="s">
        <v>26</v>
      </c>
      <c r="I18" s="2" t="s">
        <v>57</v>
      </c>
      <c r="J18" s="2" t="s">
        <v>104</v>
      </c>
      <c r="K18" s="2" t="s">
        <v>59</v>
      </c>
      <c r="L18" s="2" t="s">
        <v>47</v>
      </c>
      <c r="M18" s="2" t="n">
        <v>51</v>
      </c>
      <c r="N18" s="3" t="n">
        <v>25</v>
      </c>
      <c r="O18" s="4" t="n">
        <v>22.66</v>
      </c>
      <c r="P18" s="5" t="n">
        <v>7.5</v>
      </c>
      <c r="Q18" s="2" t="n">
        <v>0</v>
      </c>
      <c r="R18" s="4" t="n">
        <f aca="false">M18*O18</f>
        <v>1155.66</v>
      </c>
      <c r="S18" s="4" t="n">
        <f aca="false">R18*(P18/100)</f>
        <v>86.6745</v>
      </c>
      <c r="T18" s="4" t="n">
        <f aca="false">R18-S18</f>
        <v>1068.9855</v>
      </c>
    </row>
    <row r="19" customFormat="false" ht="15" hidden="false" customHeight="false" outlineLevel="0" collapsed="false">
      <c r="A19" s="2" t="n">
        <v>800018</v>
      </c>
      <c r="B19" s="2" t="s">
        <v>105</v>
      </c>
      <c r="C19" s="2" t="s">
        <v>32</v>
      </c>
      <c r="D19" s="2" t="s">
        <v>33</v>
      </c>
      <c r="E19" s="2" t="s">
        <v>34</v>
      </c>
      <c r="F19" s="2" t="s">
        <v>51</v>
      </c>
      <c r="G19" s="2" t="s">
        <v>106</v>
      </c>
      <c r="H19" s="2" t="s">
        <v>26</v>
      </c>
      <c r="I19" s="2" t="s">
        <v>57</v>
      </c>
      <c r="J19" s="2" t="s">
        <v>104</v>
      </c>
      <c r="K19" s="2" t="s">
        <v>59</v>
      </c>
      <c r="L19" s="2" t="s">
        <v>107</v>
      </c>
      <c r="M19" s="2" t="n">
        <v>256</v>
      </c>
      <c r="N19" s="3" t="n">
        <v>25</v>
      </c>
      <c r="O19" s="4" t="n">
        <v>22.12</v>
      </c>
      <c r="P19" s="5" t="n">
        <v>0</v>
      </c>
      <c r="Q19" s="2" t="n">
        <v>2</v>
      </c>
      <c r="R19" s="4" t="n">
        <f aca="false">M19*O19</f>
        <v>5662.72</v>
      </c>
      <c r="S19" s="4" t="n">
        <f aca="false">R19*(P19/100)</f>
        <v>0</v>
      </c>
      <c r="T19" s="4" t="n">
        <f aca="false">R19-S19</f>
        <v>5662.72</v>
      </c>
    </row>
    <row r="20" customFormat="false" ht="15" hidden="false" customHeight="false" outlineLevel="0" collapsed="false">
      <c r="A20" s="2" t="n">
        <v>800019</v>
      </c>
      <c r="B20" s="2" t="s">
        <v>108</v>
      </c>
      <c r="C20" s="2" t="s">
        <v>21</v>
      </c>
      <c r="D20" s="2" t="s">
        <v>22</v>
      </c>
      <c r="E20" s="2" t="s">
        <v>109</v>
      </c>
      <c r="F20" s="2" t="s">
        <v>78</v>
      </c>
      <c r="G20" s="2" t="s">
        <v>25</v>
      </c>
      <c r="H20" s="2" t="s">
        <v>26</v>
      </c>
      <c r="I20" s="2" t="s">
        <v>27</v>
      </c>
      <c r="J20" s="2" t="s">
        <v>98</v>
      </c>
      <c r="K20" s="2" t="s">
        <v>46</v>
      </c>
      <c r="L20" s="2" t="s">
        <v>60</v>
      </c>
      <c r="M20" s="2" t="n">
        <v>266</v>
      </c>
      <c r="N20" s="3" t="n">
        <v>99</v>
      </c>
      <c r="O20" s="4" t="n">
        <v>87.11</v>
      </c>
      <c r="P20" s="5" t="n">
        <v>10</v>
      </c>
      <c r="Q20" s="2" t="n">
        <v>0</v>
      </c>
      <c r="R20" s="4" t="n">
        <f aca="false">M20*O20</f>
        <v>23171.26</v>
      </c>
      <c r="S20" s="4" t="n">
        <f aca="false">R20*(P20/100)</f>
        <v>2317.126</v>
      </c>
      <c r="T20" s="4" t="n">
        <f aca="false">R20-S20</f>
        <v>20854.134</v>
      </c>
    </row>
    <row r="21" customFormat="false" ht="15" hidden="false" customHeight="false" outlineLevel="0" collapsed="false">
      <c r="A21" s="2" t="n">
        <v>800020</v>
      </c>
      <c r="B21" s="2" t="s">
        <v>110</v>
      </c>
      <c r="C21" s="2" t="s">
        <v>41</v>
      </c>
      <c r="D21" s="2" t="s">
        <v>73</v>
      </c>
      <c r="E21" s="2" t="s">
        <v>74</v>
      </c>
      <c r="F21" s="2" t="s">
        <v>87</v>
      </c>
      <c r="G21" s="2" t="s">
        <v>94</v>
      </c>
      <c r="H21" s="2" t="s">
        <v>26</v>
      </c>
      <c r="I21" s="2" t="s">
        <v>44</v>
      </c>
      <c r="J21" s="2" t="s">
        <v>45</v>
      </c>
      <c r="K21" s="2" t="s">
        <v>111</v>
      </c>
      <c r="L21" s="2" t="s">
        <v>30</v>
      </c>
      <c r="M21" s="2" t="n">
        <v>358</v>
      </c>
      <c r="N21" s="3" t="n">
        <v>10</v>
      </c>
      <c r="O21" s="4" t="n">
        <v>9.51</v>
      </c>
      <c r="P21" s="5" t="n">
        <v>0</v>
      </c>
      <c r="Q21" s="2" t="n">
        <v>0</v>
      </c>
      <c r="R21" s="4" t="n">
        <f aca="false">M21*O21</f>
        <v>3404.58</v>
      </c>
      <c r="S21" s="4" t="n">
        <f aca="false">R21*(P21/100)</f>
        <v>0</v>
      </c>
      <c r="T21" s="4" t="n">
        <f aca="false">R21-S21</f>
        <v>3404.58</v>
      </c>
    </row>
    <row r="22" customFormat="false" ht="15" hidden="false" customHeight="false" outlineLevel="0" collapsed="false">
      <c r="A22" s="2" t="n">
        <v>800021</v>
      </c>
      <c r="B22" s="2" t="s">
        <v>112</v>
      </c>
      <c r="C22" s="2" t="s">
        <v>32</v>
      </c>
      <c r="D22" s="2" t="s">
        <v>66</v>
      </c>
      <c r="E22" s="2" t="s">
        <v>113</v>
      </c>
      <c r="F22" s="2" t="s">
        <v>87</v>
      </c>
      <c r="G22" s="2" t="s">
        <v>36</v>
      </c>
      <c r="H22" s="2" t="s">
        <v>26</v>
      </c>
      <c r="I22" s="2" t="s">
        <v>69</v>
      </c>
      <c r="J22" s="2" t="s">
        <v>114</v>
      </c>
      <c r="K22" s="2" t="s">
        <v>29</v>
      </c>
      <c r="L22" s="2" t="s">
        <v>30</v>
      </c>
      <c r="M22" s="2" t="n">
        <v>490</v>
      </c>
      <c r="N22" s="3" t="n">
        <v>20</v>
      </c>
      <c r="O22" s="4" t="n">
        <v>19.39</v>
      </c>
      <c r="P22" s="5" t="n">
        <v>0</v>
      </c>
      <c r="Q22" s="2" t="n">
        <v>0</v>
      </c>
      <c r="R22" s="4" t="n">
        <f aca="false">M22*O22</f>
        <v>9501.1</v>
      </c>
      <c r="S22" s="4" t="n">
        <f aca="false">R22*(P22/100)</f>
        <v>0</v>
      </c>
      <c r="T22" s="4" t="n">
        <f aca="false">R22-S22</f>
        <v>9501.1</v>
      </c>
    </row>
    <row r="23" customFormat="false" ht="15" hidden="false" customHeight="false" outlineLevel="0" collapsed="false">
      <c r="A23" s="2" t="n">
        <v>800022</v>
      </c>
      <c r="B23" s="2" t="s">
        <v>115</v>
      </c>
      <c r="C23" s="2" t="s">
        <v>21</v>
      </c>
      <c r="D23" s="2" t="s">
        <v>116</v>
      </c>
      <c r="E23" s="2" t="s">
        <v>117</v>
      </c>
      <c r="F23" s="2" t="s">
        <v>35</v>
      </c>
      <c r="G23" s="2" t="s">
        <v>52</v>
      </c>
      <c r="H23" s="2" t="s">
        <v>26</v>
      </c>
      <c r="I23" s="2" t="s">
        <v>27</v>
      </c>
      <c r="J23" s="2" t="s">
        <v>98</v>
      </c>
      <c r="K23" s="2" t="s">
        <v>46</v>
      </c>
      <c r="L23" s="2" t="s">
        <v>47</v>
      </c>
      <c r="M23" s="2" t="n">
        <v>475</v>
      </c>
      <c r="N23" s="3" t="n">
        <v>99</v>
      </c>
      <c r="O23" s="4" t="n">
        <v>92.05</v>
      </c>
      <c r="P23" s="5" t="n">
        <v>0</v>
      </c>
      <c r="Q23" s="2" t="n">
        <v>0</v>
      </c>
      <c r="R23" s="4" t="n">
        <f aca="false">M23*O23</f>
        <v>43723.75</v>
      </c>
      <c r="S23" s="4" t="n">
        <f aca="false">R23*(P23/100)</f>
        <v>0</v>
      </c>
      <c r="T23" s="4" t="n">
        <f aca="false">R23-S23</f>
        <v>43723.75</v>
      </c>
    </row>
    <row r="24" customFormat="false" ht="15" hidden="false" customHeight="false" outlineLevel="0" collapsed="false">
      <c r="A24" s="2" t="n">
        <v>800023</v>
      </c>
      <c r="B24" s="2" t="s">
        <v>118</v>
      </c>
      <c r="C24" s="2" t="s">
        <v>84</v>
      </c>
      <c r="D24" s="2" t="s">
        <v>119</v>
      </c>
      <c r="E24" s="2" t="s">
        <v>120</v>
      </c>
      <c r="F24" s="2" t="s">
        <v>87</v>
      </c>
      <c r="G24" s="2" t="s">
        <v>25</v>
      </c>
      <c r="H24" s="2" t="s">
        <v>26</v>
      </c>
      <c r="I24" s="2" t="s">
        <v>44</v>
      </c>
      <c r="J24" s="2" t="s">
        <v>45</v>
      </c>
      <c r="K24" s="2" t="s">
        <v>111</v>
      </c>
      <c r="L24" s="2" t="s">
        <v>64</v>
      </c>
      <c r="M24" s="2" t="n">
        <v>363</v>
      </c>
      <c r="N24" s="3" t="n">
        <v>10</v>
      </c>
      <c r="O24" s="4" t="n">
        <v>9.4</v>
      </c>
      <c r="P24" s="5" t="n">
        <v>12.5</v>
      </c>
      <c r="Q24" s="2" t="n">
        <v>1</v>
      </c>
      <c r="R24" s="4" t="n">
        <f aca="false">M24*O24</f>
        <v>3412.2</v>
      </c>
      <c r="S24" s="4" t="n">
        <f aca="false">R24*(P24/100)</f>
        <v>426.525</v>
      </c>
      <c r="T24" s="4" t="n">
        <f aca="false">R24-S24</f>
        <v>2985.675</v>
      </c>
    </row>
    <row r="25" customFormat="false" ht="15" hidden="false" customHeight="false" outlineLevel="0" collapsed="false">
      <c r="A25" s="2" t="n">
        <v>800024</v>
      </c>
      <c r="B25" s="2" t="s">
        <v>121</v>
      </c>
      <c r="C25" s="2" t="s">
        <v>21</v>
      </c>
      <c r="D25" s="2" t="s">
        <v>101</v>
      </c>
      <c r="E25" s="2" t="s">
        <v>122</v>
      </c>
      <c r="F25" s="2" t="s">
        <v>78</v>
      </c>
      <c r="G25" s="2" t="s">
        <v>90</v>
      </c>
      <c r="H25" s="2" t="s">
        <v>26</v>
      </c>
      <c r="I25" s="2" t="s">
        <v>27</v>
      </c>
      <c r="J25" s="2" t="s">
        <v>91</v>
      </c>
      <c r="K25" s="2" t="s">
        <v>29</v>
      </c>
      <c r="L25" s="2" t="s">
        <v>64</v>
      </c>
      <c r="M25" s="2" t="n">
        <v>497</v>
      </c>
      <c r="N25" s="3" t="n">
        <v>35</v>
      </c>
      <c r="O25" s="4" t="n">
        <v>31.46</v>
      </c>
      <c r="P25" s="5" t="n">
        <v>0</v>
      </c>
      <c r="Q25" s="2" t="n">
        <v>0</v>
      </c>
      <c r="R25" s="4" t="n">
        <f aca="false">M25*O25</f>
        <v>15635.62</v>
      </c>
      <c r="S25" s="4" t="n">
        <f aca="false">R25*(P25/100)</f>
        <v>0</v>
      </c>
      <c r="T25" s="4" t="n">
        <f aca="false">R25-S25</f>
        <v>15635.62</v>
      </c>
    </row>
    <row r="26" customFormat="false" ht="15" hidden="false" customHeight="false" outlineLevel="0" collapsed="false">
      <c r="A26" s="2" t="n">
        <v>800025</v>
      </c>
      <c r="B26" s="2" t="s">
        <v>123</v>
      </c>
      <c r="C26" s="2" t="s">
        <v>84</v>
      </c>
      <c r="D26" s="2" t="s">
        <v>85</v>
      </c>
      <c r="E26" s="2" t="s">
        <v>124</v>
      </c>
      <c r="F26" s="2" t="s">
        <v>35</v>
      </c>
      <c r="G26" s="2" t="s">
        <v>125</v>
      </c>
      <c r="H26" s="2" t="s">
        <v>26</v>
      </c>
      <c r="I26" s="2" t="s">
        <v>44</v>
      </c>
      <c r="J26" s="2" t="s">
        <v>126</v>
      </c>
      <c r="K26" s="2" t="s">
        <v>71</v>
      </c>
      <c r="L26" s="2" t="s">
        <v>30</v>
      </c>
      <c r="M26" s="2" t="n">
        <v>24</v>
      </c>
      <c r="N26" s="3" t="n">
        <v>20</v>
      </c>
      <c r="O26" s="4" t="n">
        <v>18.87</v>
      </c>
      <c r="P26" s="5" t="n">
        <v>5</v>
      </c>
      <c r="Q26" s="2" t="n">
        <v>0</v>
      </c>
      <c r="R26" s="4" t="n">
        <f aca="false">M26*O26</f>
        <v>452.88</v>
      </c>
      <c r="S26" s="4" t="n">
        <f aca="false">R26*(P26/100)</f>
        <v>22.644</v>
      </c>
      <c r="T26" s="4" t="n">
        <f aca="false">R26-S26</f>
        <v>430.236</v>
      </c>
    </row>
    <row r="27" customFormat="false" ht="15" hidden="false" customHeight="false" outlineLevel="0" collapsed="false">
      <c r="A27" s="2" t="n">
        <v>800026</v>
      </c>
      <c r="B27" s="2" t="s">
        <v>127</v>
      </c>
      <c r="C27" s="2" t="s">
        <v>84</v>
      </c>
      <c r="D27" s="2" t="s">
        <v>128</v>
      </c>
      <c r="E27" s="2" t="s">
        <v>129</v>
      </c>
      <c r="F27" s="2" t="s">
        <v>35</v>
      </c>
      <c r="G27" s="2" t="s">
        <v>106</v>
      </c>
      <c r="H27" s="2" t="s">
        <v>26</v>
      </c>
      <c r="I27" s="2" t="s">
        <v>44</v>
      </c>
      <c r="J27" s="2" t="s">
        <v>45</v>
      </c>
      <c r="K27" s="2" t="s">
        <v>111</v>
      </c>
      <c r="L27" s="2" t="s">
        <v>53</v>
      </c>
      <c r="M27" s="2" t="n">
        <v>127</v>
      </c>
      <c r="N27" s="3" t="n">
        <v>10</v>
      </c>
      <c r="O27" s="4" t="n">
        <v>9.5</v>
      </c>
      <c r="P27" s="5" t="n">
        <v>2</v>
      </c>
      <c r="Q27" s="2" t="n">
        <v>0</v>
      </c>
      <c r="R27" s="4" t="n">
        <f aca="false">M27*O27</f>
        <v>1206.5</v>
      </c>
      <c r="S27" s="4" t="n">
        <f aca="false">R27*(P27/100)</f>
        <v>24.13</v>
      </c>
      <c r="T27" s="4" t="n">
        <f aca="false">R27-S27</f>
        <v>1182.37</v>
      </c>
    </row>
    <row r="28" customFormat="false" ht="15" hidden="false" customHeight="false" outlineLevel="0" collapsed="false">
      <c r="A28" s="2" t="n">
        <v>800027</v>
      </c>
      <c r="B28" s="2" t="s">
        <v>130</v>
      </c>
      <c r="C28" s="2" t="s">
        <v>41</v>
      </c>
      <c r="D28" s="2" t="s">
        <v>42</v>
      </c>
      <c r="E28" s="2" t="s">
        <v>131</v>
      </c>
      <c r="F28" s="2" t="s">
        <v>78</v>
      </c>
      <c r="G28" s="2" t="s">
        <v>62</v>
      </c>
      <c r="H28" s="2" t="s">
        <v>26</v>
      </c>
      <c r="I28" s="2" t="s">
        <v>57</v>
      </c>
      <c r="J28" s="2" t="s">
        <v>58</v>
      </c>
      <c r="K28" s="2" t="s">
        <v>59</v>
      </c>
      <c r="L28" s="2" t="s">
        <v>132</v>
      </c>
      <c r="M28" s="2" t="n">
        <v>21</v>
      </c>
      <c r="N28" s="3" t="n">
        <v>20</v>
      </c>
      <c r="O28" s="4" t="n">
        <v>17.93</v>
      </c>
      <c r="P28" s="5" t="n">
        <v>0</v>
      </c>
      <c r="Q28" s="2" t="n">
        <v>0</v>
      </c>
      <c r="R28" s="4" t="n">
        <f aca="false">M28*O28</f>
        <v>376.53</v>
      </c>
      <c r="S28" s="4" t="n">
        <f aca="false">R28*(P28/100)</f>
        <v>0</v>
      </c>
      <c r="T28" s="4" t="n">
        <f aca="false">R28-S28</f>
        <v>376.53</v>
      </c>
    </row>
    <row r="29" customFormat="false" ht="15" hidden="false" customHeight="false" outlineLevel="0" collapsed="false">
      <c r="A29" s="2" t="n">
        <v>800028</v>
      </c>
      <c r="B29" s="2" t="s">
        <v>133</v>
      </c>
      <c r="C29" s="2" t="s">
        <v>41</v>
      </c>
      <c r="D29" s="2" t="s">
        <v>49</v>
      </c>
      <c r="E29" s="2" t="s">
        <v>80</v>
      </c>
      <c r="F29" s="2" t="s">
        <v>35</v>
      </c>
      <c r="G29" s="2" t="s">
        <v>36</v>
      </c>
      <c r="H29" s="2" t="s">
        <v>26</v>
      </c>
      <c r="I29" s="2" t="s">
        <v>69</v>
      </c>
      <c r="J29" s="2" t="s">
        <v>134</v>
      </c>
      <c r="K29" s="2" t="s">
        <v>71</v>
      </c>
      <c r="L29" s="2" t="s">
        <v>64</v>
      </c>
      <c r="M29" s="2" t="n">
        <v>299</v>
      </c>
      <c r="N29" s="3" t="n">
        <v>40</v>
      </c>
      <c r="O29" s="4" t="n">
        <v>34.2</v>
      </c>
      <c r="P29" s="5" t="n">
        <v>7.5</v>
      </c>
      <c r="Q29" s="2" t="n">
        <v>3</v>
      </c>
      <c r="R29" s="4" t="n">
        <f aca="false">M29*O29</f>
        <v>10225.8</v>
      </c>
      <c r="S29" s="4" t="n">
        <f aca="false">R29*(P29/100)</f>
        <v>766.935</v>
      </c>
      <c r="T29" s="4" t="n">
        <f aca="false">R29-S29</f>
        <v>9458.865</v>
      </c>
    </row>
    <row r="30" customFormat="false" ht="15" hidden="false" customHeight="false" outlineLevel="0" collapsed="false">
      <c r="A30" s="2" t="n">
        <v>800029</v>
      </c>
      <c r="B30" s="2" t="s">
        <v>135</v>
      </c>
      <c r="C30" s="2" t="s">
        <v>41</v>
      </c>
      <c r="D30" s="2" t="s">
        <v>73</v>
      </c>
      <c r="E30" s="2" t="s">
        <v>136</v>
      </c>
      <c r="F30" s="2" t="s">
        <v>87</v>
      </c>
      <c r="G30" s="2" t="s">
        <v>137</v>
      </c>
      <c r="H30" s="2" t="s">
        <v>26</v>
      </c>
      <c r="I30" s="2" t="s">
        <v>69</v>
      </c>
      <c r="J30" s="2" t="s">
        <v>81</v>
      </c>
      <c r="K30" s="2" t="s">
        <v>71</v>
      </c>
      <c r="L30" s="2" t="s">
        <v>99</v>
      </c>
      <c r="M30" s="2" t="n">
        <v>369</v>
      </c>
      <c r="N30" s="3" t="n">
        <v>40</v>
      </c>
      <c r="O30" s="4" t="n">
        <v>35.4</v>
      </c>
      <c r="P30" s="5" t="n">
        <v>0</v>
      </c>
      <c r="Q30" s="2" t="n">
        <v>1</v>
      </c>
      <c r="R30" s="4" t="n">
        <f aca="false">M30*O30</f>
        <v>13062.6</v>
      </c>
      <c r="S30" s="4" t="n">
        <f aca="false">R30*(P30/100)</f>
        <v>0</v>
      </c>
      <c r="T30" s="4" t="n">
        <f aca="false">R30-S30</f>
        <v>13062.6</v>
      </c>
    </row>
    <row r="31" customFormat="false" ht="15" hidden="false" customHeight="false" outlineLevel="0" collapsed="false">
      <c r="A31" s="2" t="n">
        <v>800030</v>
      </c>
      <c r="B31" s="2" t="s">
        <v>138</v>
      </c>
      <c r="C31" s="2" t="s">
        <v>41</v>
      </c>
      <c r="D31" s="2" t="s">
        <v>49</v>
      </c>
      <c r="E31" s="2" t="s">
        <v>50</v>
      </c>
      <c r="F31" s="2" t="s">
        <v>24</v>
      </c>
      <c r="G31" s="2" t="s">
        <v>106</v>
      </c>
      <c r="H31" s="2" t="s">
        <v>26</v>
      </c>
      <c r="I31" s="2" t="s">
        <v>27</v>
      </c>
      <c r="J31" s="2" t="s">
        <v>98</v>
      </c>
      <c r="K31" s="2" t="s">
        <v>46</v>
      </c>
      <c r="L31" s="2" t="s">
        <v>132</v>
      </c>
      <c r="M31" s="2" t="n">
        <v>111</v>
      </c>
      <c r="N31" s="3" t="n">
        <v>99</v>
      </c>
      <c r="O31" s="4" t="n">
        <v>94.36</v>
      </c>
      <c r="P31" s="5" t="n">
        <v>7.5</v>
      </c>
      <c r="Q31" s="2" t="n">
        <v>1</v>
      </c>
      <c r="R31" s="4" t="n">
        <f aca="false">M31*O31</f>
        <v>10473.96</v>
      </c>
      <c r="S31" s="4" t="n">
        <f aca="false">R31*(P31/100)</f>
        <v>785.547</v>
      </c>
      <c r="T31" s="4" t="n">
        <f aca="false">R31-S31</f>
        <v>9688.413</v>
      </c>
    </row>
    <row r="32" customFormat="false" ht="15" hidden="false" customHeight="false" outlineLevel="0" collapsed="false">
      <c r="A32" s="2" t="n">
        <v>800031</v>
      </c>
      <c r="B32" s="2" t="s">
        <v>139</v>
      </c>
      <c r="C32" s="2" t="s">
        <v>32</v>
      </c>
      <c r="D32" s="2" t="s">
        <v>55</v>
      </c>
      <c r="E32" s="2" t="s">
        <v>56</v>
      </c>
      <c r="F32" s="2" t="s">
        <v>78</v>
      </c>
      <c r="G32" s="2" t="s">
        <v>103</v>
      </c>
      <c r="H32" s="2" t="s">
        <v>26</v>
      </c>
      <c r="I32" s="2" t="s">
        <v>69</v>
      </c>
      <c r="J32" s="2" t="s">
        <v>114</v>
      </c>
      <c r="K32" s="2" t="s">
        <v>29</v>
      </c>
      <c r="L32" s="2" t="s">
        <v>99</v>
      </c>
      <c r="M32" s="2" t="n">
        <v>122</v>
      </c>
      <c r="N32" s="3" t="n">
        <v>20</v>
      </c>
      <c r="O32" s="4" t="n">
        <v>19.29</v>
      </c>
      <c r="P32" s="5" t="n">
        <v>12.5</v>
      </c>
      <c r="Q32" s="2" t="n">
        <v>1</v>
      </c>
      <c r="R32" s="4" t="n">
        <f aca="false">M32*O32</f>
        <v>2353.38</v>
      </c>
      <c r="S32" s="4" t="n">
        <f aca="false">R32*(P32/100)</f>
        <v>294.1725</v>
      </c>
      <c r="T32" s="4" t="n">
        <f aca="false">R32-S32</f>
        <v>2059.2075</v>
      </c>
    </row>
    <row r="33" customFormat="false" ht="15" hidden="false" customHeight="false" outlineLevel="0" collapsed="false">
      <c r="A33" s="2" t="n">
        <v>800032</v>
      </c>
      <c r="B33" s="2" t="s">
        <v>140</v>
      </c>
      <c r="C33" s="2" t="s">
        <v>32</v>
      </c>
      <c r="D33" s="2" t="s">
        <v>33</v>
      </c>
      <c r="E33" s="2" t="s">
        <v>141</v>
      </c>
      <c r="F33" s="2" t="s">
        <v>24</v>
      </c>
      <c r="G33" s="2" t="s">
        <v>103</v>
      </c>
      <c r="H33" s="2" t="s">
        <v>26</v>
      </c>
      <c r="I33" s="2" t="s">
        <v>44</v>
      </c>
      <c r="J33" s="2" t="s">
        <v>45</v>
      </c>
      <c r="K33" s="2" t="s">
        <v>111</v>
      </c>
      <c r="L33" s="2" t="s">
        <v>47</v>
      </c>
      <c r="M33" s="2" t="n">
        <v>415</v>
      </c>
      <c r="N33" s="3" t="n">
        <v>10</v>
      </c>
      <c r="O33" s="4" t="n">
        <v>8.89</v>
      </c>
      <c r="P33" s="5" t="n">
        <v>10</v>
      </c>
      <c r="Q33" s="2" t="n">
        <v>3</v>
      </c>
      <c r="R33" s="4" t="n">
        <f aca="false">M33*O33</f>
        <v>3689.35</v>
      </c>
      <c r="S33" s="4" t="n">
        <f aca="false">R33*(P33/100)</f>
        <v>368.935</v>
      </c>
      <c r="T33" s="4" t="n">
        <f aca="false">R33-S33</f>
        <v>3320.415</v>
      </c>
    </row>
    <row r="34" customFormat="false" ht="15" hidden="false" customHeight="false" outlineLevel="0" collapsed="false">
      <c r="A34" s="2" t="n">
        <v>800033</v>
      </c>
      <c r="B34" s="2" t="s">
        <v>142</v>
      </c>
      <c r="C34" s="2" t="s">
        <v>21</v>
      </c>
      <c r="D34" s="2" t="s">
        <v>22</v>
      </c>
      <c r="E34" s="2" t="s">
        <v>23</v>
      </c>
      <c r="F34" s="2" t="s">
        <v>24</v>
      </c>
      <c r="G34" s="2" t="s">
        <v>143</v>
      </c>
      <c r="H34" s="2" t="s">
        <v>26</v>
      </c>
      <c r="I34" s="2" t="s">
        <v>44</v>
      </c>
      <c r="J34" s="2" t="s">
        <v>45</v>
      </c>
      <c r="K34" s="2" t="s">
        <v>46</v>
      </c>
      <c r="L34" s="2" t="s">
        <v>47</v>
      </c>
      <c r="M34" s="2" t="n">
        <v>325</v>
      </c>
      <c r="N34" s="3" t="n">
        <v>20</v>
      </c>
      <c r="O34" s="4" t="n">
        <v>18.22</v>
      </c>
      <c r="P34" s="5" t="n">
        <v>7.5</v>
      </c>
      <c r="Q34" s="2" t="n">
        <v>1</v>
      </c>
      <c r="R34" s="4" t="n">
        <f aca="false">M34*O34</f>
        <v>5921.5</v>
      </c>
      <c r="S34" s="4" t="n">
        <f aca="false">R34*(P34/100)</f>
        <v>444.1125</v>
      </c>
      <c r="T34" s="4" t="n">
        <f aca="false">R34-S34</f>
        <v>5477.3875</v>
      </c>
    </row>
    <row r="35" customFormat="false" ht="15" hidden="false" customHeight="false" outlineLevel="0" collapsed="false">
      <c r="A35" s="2" t="n">
        <v>800034</v>
      </c>
      <c r="B35" s="2" t="s">
        <v>144</v>
      </c>
      <c r="C35" s="2" t="s">
        <v>21</v>
      </c>
      <c r="D35" s="2" t="s">
        <v>101</v>
      </c>
      <c r="E35" s="2" t="s">
        <v>145</v>
      </c>
      <c r="F35" s="2" t="s">
        <v>87</v>
      </c>
      <c r="G35" s="2" t="s">
        <v>36</v>
      </c>
      <c r="H35" s="2" t="s">
        <v>26</v>
      </c>
      <c r="I35" s="2" t="s">
        <v>57</v>
      </c>
      <c r="J35" s="2" t="s">
        <v>104</v>
      </c>
      <c r="K35" s="2" t="s">
        <v>59</v>
      </c>
      <c r="L35" s="2" t="s">
        <v>30</v>
      </c>
      <c r="M35" s="2" t="n">
        <v>493</v>
      </c>
      <c r="N35" s="3" t="n">
        <v>25</v>
      </c>
      <c r="O35" s="4" t="n">
        <v>24.07</v>
      </c>
      <c r="P35" s="5" t="n">
        <v>2</v>
      </c>
      <c r="Q35" s="2" t="n">
        <v>1</v>
      </c>
      <c r="R35" s="4" t="n">
        <f aca="false">M35*O35</f>
        <v>11866.51</v>
      </c>
      <c r="S35" s="4" t="n">
        <f aca="false">R35*(P35/100)</f>
        <v>237.3302</v>
      </c>
      <c r="T35" s="4" t="n">
        <f aca="false">R35-S35</f>
        <v>11629.1798</v>
      </c>
    </row>
    <row r="36" customFormat="false" ht="15" hidden="false" customHeight="false" outlineLevel="0" collapsed="false">
      <c r="A36" s="2" t="n">
        <v>800035</v>
      </c>
      <c r="B36" s="2" t="s">
        <v>146</v>
      </c>
      <c r="C36" s="2" t="s">
        <v>21</v>
      </c>
      <c r="D36" s="2" t="s">
        <v>147</v>
      </c>
      <c r="E36" s="2" t="s">
        <v>148</v>
      </c>
      <c r="F36" s="2" t="s">
        <v>87</v>
      </c>
      <c r="G36" s="2" t="s">
        <v>62</v>
      </c>
      <c r="H36" s="2" t="s">
        <v>26</v>
      </c>
      <c r="I36" s="2" t="s">
        <v>69</v>
      </c>
      <c r="J36" s="2" t="s">
        <v>81</v>
      </c>
      <c r="K36" s="2" t="s">
        <v>39</v>
      </c>
      <c r="L36" s="2" t="s">
        <v>30</v>
      </c>
      <c r="M36" s="2" t="n">
        <v>178</v>
      </c>
      <c r="N36" s="3" t="n">
        <v>20</v>
      </c>
      <c r="O36" s="4" t="n">
        <v>18.87</v>
      </c>
      <c r="P36" s="5" t="n">
        <v>7.5</v>
      </c>
      <c r="Q36" s="2" t="n">
        <v>1</v>
      </c>
      <c r="R36" s="4" t="n">
        <f aca="false">M36*O36</f>
        <v>3358.86</v>
      </c>
      <c r="S36" s="4" t="n">
        <f aca="false">R36*(P36/100)</f>
        <v>251.9145</v>
      </c>
      <c r="T36" s="4" t="n">
        <f aca="false">R36-S36</f>
        <v>3106.9455</v>
      </c>
    </row>
    <row r="37" customFormat="false" ht="15" hidden="false" customHeight="false" outlineLevel="0" collapsed="false">
      <c r="A37" s="2" t="n">
        <v>800036</v>
      </c>
      <c r="B37" s="2" t="s">
        <v>149</v>
      </c>
      <c r="C37" s="2" t="s">
        <v>84</v>
      </c>
      <c r="D37" s="2" t="s">
        <v>85</v>
      </c>
      <c r="E37" s="2" t="s">
        <v>86</v>
      </c>
      <c r="F37" s="2" t="s">
        <v>51</v>
      </c>
      <c r="G37" s="2" t="s">
        <v>62</v>
      </c>
      <c r="H37" s="2" t="s">
        <v>26</v>
      </c>
      <c r="I37" s="2" t="s">
        <v>57</v>
      </c>
      <c r="J37" s="2" t="s">
        <v>104</v>
      </c>
      <c r="K37" s="2" t="s">
        <v>59</v>
      </c>
      <c r="L37" s="2" t="s">
        <v>53</v>
      </c>
      <c r="M37" s="2" t="n">
        <v>311</v>
      </c>
      <c r="N37" s="3" t="n">
        <v>25</v>
      </c>
      <c r="O37" s="4" t="n">
        <v>22.3</v>
      </c>
      <c r="P37" s="5" t="n">
        <v>0</v>
      </c>
      <c r="Q37" s="2" t="n">
        <v>0</v>
      </c>
      <c r="R37" s="4" t="n">
        <f aca="false">M37*O37</f>
        <v>6935.3</v>
      </c>
      <c r="S37" s="4" t="n">
        <f aca="false">R37*(P37/100)</f>
        <v>0</v>
      </c>
      <c r="T37" s="4" t="n">
        <f aca="false">R37-S37</f>
        <v>6935.3</v>
      </c>
    </row>
    <row r="38" customFormat="false" ht="15" hidden="false" customHeight="false" outlineLevel="0" collapsed="false">
      <c r="A38" s="2" t="n">
        <v>800037</v>
      </c>
      <c r="B38" s="2" t="s">
        <v>150</v>
      </c>
      <c r="C38" s="2" t="s">
        <v>32</v>
      </c>
      <c r="D38" s="2" t="s">
        <v>151</v>
      </c>
      <c r="E38" s="2" t="s">
        <v>152</v>
      </c>
      <c r="F38" s="2" t="s">
        <v>51</v>
      </c>
      <c r="G38" s="2" t="s">
        <v>94</v>
      </c>
      <c r="H38" s="2" t="s">
        <v>26</v>
      </c>
      <c r="I38" s="2" t="s">
        <v>57</v>
      </c>
      <c r="J38" s="2" t="s">
        <v>104</v>
      </c>
      <c r="K38" s="2" t="s">
        <v>59</v>
      </c>
      <c r="L38" s="2" t="s">
        <v>30</v>
      </c>
      <c r="M38" s="2" t="n">
        <v>262</v>
      </c>
      <c r="N38" s="3" t="n">
        <v>25</v>
      </c>
      <c r="O38" s="4" t="n">
        <v>24.03</v>
      </c>
      <c r="P38" s="5" t="n">
        <v>0</v>
      </c>
      <c r="Q38" s="2" t="n">
        <v>0</v>
      </c>
      <c r="R38" s="4" t="n">
        <f aca="false">M38*O38</f>
        <v>6295.86</v>
      </c>
      <c r="S38" s="4" t="n">
        <f aca="false">R38*(P38/100)</f>
        <v>0</v>
      </c>
      <c r="T38" s="4" t="n">
        <f aca="false">R38-S38</f>
        <v>6295.86</v>
      </c>
    </row>
    <row r="39" customFormat="false" ht="15" hidden="false" customHeight="false" outlineLevel="0" collapsed="false">
      <c r="A39" s="2" t="n">
        <v>800038</v>
      </c>
      <c r="B39" s="2" t="s">
        <v>153</v>
      </c>
      <c r="C39" s="2" t="s">
        <v>84</v>
      </c>
      <c r="D39" s="2" t="s">
        <v>128</v>
      </c>
      <c r="E39" s="2" t="s">
        <v>129</v>
      </c>
      <c r="F39" s="2" t="s">
        <v>87</v>
      </c>
      <c r="G39" s="2" t="s">
        <v>25</v>
      </c>
      <c r="H39" s="2" t="s">
        <v>26</v>
      </c>
      <c r="I39" s="2" t="s">
        <v>27</v>
      </c>
      <c r="J39" s="2" t="s">
        <v>28</v>
      </c>
      <c r="K39" s="2" t="s">
        <v>63</v>
      </c>
      <c r="L39" s="2" t="s">
        <v>132</v>
      </c>
      <c r="M39" s="2" t="n">
        <v>43</v>
      </c>
      <c r="N39" s="3" t="n">
        <v>50</v>
      </c>
      <c r="O39" s="4" t="n">
        <v>44.21</v>
      </c>
      <c r="P39" s="5" t="n">
        <v>12.5</v>
      </c>
      <c r="Q39" s="2" t="n">
        <v>0</v>
      </c>
      <c r="R39" s="4" t="n">
        <f aca="false">M39*O39</f>
        <v>1901.03</v>
      </c>
      <c r="S39" s="4" t="n">
        <f aca="false">R39*(P39/100)</f>
        <v>237.62875</v>
      </c>
      <c r="T39" s="4" t="n">
        <f aca="false">R39-S39</f>
        <v>1663.40125</v>
      </c>
    </row>
    <row r="40" customFormat="false" ht="15" hidden="false" customHeight="false" outlineLevel="0" collapsed="false">
      <c r="A40" s="2" t="n">
        <v>800039</v>
      </c>
      <c r="B40" s="2" t="s">
        <v>72</v>
      </c>
      <c r="C40" s="2" t="s">
        <v>41</v>
      </c>
      <c r="D40" s="2" t="s">
        <v>49</v>
      </c>
      <c r="E40" s="2" t="s">
        <v>50</v>
      </c>
      <c r="F40" s="2" t="s">
        <v>51</v>
      </c>
      <c r="G40" s="2" t="s">
        <v>94</v>
      </c>
      <c r="H40" s="2" t="s">
        <v>26</v>
      </c>
      <c r="I40" s="2" t="s">
        <v>57</v>
      </c>
      <c r="J40" s="2" t="s">
        <v>104</v>
      </c>
      <c r="K40" s="2" t="s">
        <v>59</v>
      </c>
      <c r="L40" s="2" t="s">
        <v>64</v>
      </c>
      <c r="M40" s="2" t="n">
        <v>355</v>
      </c>
      <c r="N40" s="3" t="n">
        <v>25</v>
      </c>
      <c r="O40" s="4" t="n">
        <v>23.66</v>
      </c>
      <c r="P40" s="5" t="n">
        <v>0</v>
      </c>
      <c r="Q40" s="2" t="n">
        <v>1</v>
      </c>
      <c r="R40" s="4" t="n">
        <f aca="false">M40*O40</f>
        <v>8399.3</v>
      </c>
      <c r="S40" s="4" t="n">
        <f aca="false">R40*(P40/100)</f>
        <v>0</v>
      </c>
      <c r="T40" s="4" t="n">
        <f aca="false">R40-S40</f>
        <v>8399.3</v>
      </c>
    </row>
    <row r="41" customFormat="false" ht="15" hidden="false" customHeight="false" outlineLevel="0" collapsed="false">
      <c r="A41" s="2" t="n">
        <v>800040</v>
      </c>
      <c r="B41" s="2" t="s">
        <v>154</v>
      </c>
      <c r="C41" s="2" t="s">
        <v>32</v>
      </c>
      <c r="D41" s="2" t="s">
        <v>76</v>
      </c>
      <c r="E41" s="2" t="s">
        <v>77</v>
      </c>
      <c r="F41" s="2" t="s">
        <v>78</v>
      </c>
      <c r="G41" s="2" t="s">
        <v>90</v>
      </c>
      <c r="H41" s="2" t="s">
        <v>26</v>
      </c>
      <c r="I41" s="2" t="s">
        <v>27</v>
      </c>
      <c r="J41" s="2" t="s">
        <v>28</v>
      </c>
      <c r="K41" s="2" t="s">
        <v>29</v>
      </c>
      <c r="L41" s="2" t="s">
        <v>60</v>
      </c>
      <c r="M41" s="2" t="n">
        <v>88</v>
      </c>
      <c r="N41" s="3" t="n">
        <v>30</v>
      </c>
      <c r="O41" s="4" t="n">
        <v>28.87</v>
      </c>
      <c r="P41" s="5" t="n">
        <v>7.5</v>
      </c>
      <c r="Q41" s="2" t="n">
        <v>2</v>
      </c>
      <c r="R41" s="4" t="n">
        <f aca="false">M41*O41</f>
        <v>2540.56</v>
      </c>
      <c r="S41" s="4" t="n">
        <f aca="false">R41*(P41/100)</f>
        <v>190.542</v>
      </c>
      <c r="T41" s="4" t="n">
        <f aca="false">R41-S41</f>
        <v>2350.018</v>
      </c>
    </row>
    <row r="42" customFormat="false" ht="15" hidden="false" customHeight="false" outlineLevel="0" collapsed="false">
      <c r="A42" s="2" t="n">
        <v>800041</v>
      </c>
      <c r="B42" s="2" t="s">
        <v>155</v>
      </c>
      <c r="C42" s="2" t="s">
        <v>41</v>
      </c>
      <c r="D42" s="2" t="s">
        <v>49</v>
      </c>
      <c r="E42" s="2" t="s">
        <v>80</v>
      </c>
      <c r="F42" s="2" t="s">
        <v>24</v>
      </c>
      <c r="G42" s="2" t="s">
        <v>125</v>
      </c>
      <c r="H42" s="2" t="s">
        <v>26</v>
      </c>
      <c r="I42" s="2" t="s">
        <v>57</v>
      </c>
      <c r="J42" s="2" t="s">
        <v>58</v>
      </c>
      <c r="K42" s="2" t="s">
        <v>59</v>
      </c>
      <c r="L42" s="2" t="s">
        <v>107</v>
      </c>
      <c r="M42" s="2" t="n">
        <v>404</v>
      </c>
      <c r="N42" s="3" t="n">
        <v>20</v>
      </c>
      <c r="O42" s="4" t="n">
        <v>17.69</v>
      </c>
      <c r="P42" s="5" t="n">
        <v>5</v>
      </c>
      <c r="Q42" s="2" t="n">
        <v>3</v>
      </c>
      <c r="R42" s="4" t="n">
        <f aca="false">M42*O42</f>
        <v>7146.76</v>
      </c>
      <c r="S42" s="4" t="n">
        <f aca="false">R42*(P42/100)</f>
        <v>357.338</v>
      </c>
      <c r="T42" s="4" t="n">
        <f aca="false">R42-S42</f>
        <v>6789.422</v>
      </c>
    </row>
    <row r="43" customFormat="false" ht="15" hidden="false" customHeight="false" outlineLevel="0" collapsed="false">
      <c r="A43" s="2" t="n">
        <v>800042</v>
      </c>
      <c r="B43" s="2" t="s">
        <v>156</v>
      </c>
      <c r="C43" s="2" t="s">
        <v>32</v>
      </c>
      <c r="D43" s="2" t="s">
        <v>55</v>
      </c>
      <c r="E43" s="2" t="s">
        <v>93</v>
      </c>
      <c r="F43" s="2" t="s">
        <v>78</v>
      </c>
      <c r="G43" s="2" t="s">
        <v>125</v>
      </c>
      <c r="H43" s="2" t="s">
        <v>26</v>
      </c>
      <c r="I43" s="2" t="s">
        <v>44</v>
      </c>
      <c r="J43" s="2" t="s">
        <v>45</v>
      </c>
      <c r="K43" s="2" t="s">
        <v>46</v>
      </c>
      <c r="L43" s="2" t="s">
        <v>107</v>
      </c>
      <c r="M43" s="2" t="n">
        <v>191</v>
      </c>
      <c r="N43" s="3" t="n">
        <v>20</v>
      </c>
      <c r="O43" s="4" t="n">
        <v>17.9</v>
      </c>
      <c r="P43" s="5" t="n">
        <v>0</v>
      </c>
      <c r="Q43" s="2" t="n">
        <v>0</v>
      </c>
      <c r="R43" s="4" t="n">
        <f aca="false">M43*O43</f>
        <v>3418.9</v>
      </c>
      <c r="S43" s="4" t="n">
        <f aca="false">R43*(P43/100)</f>
        <v>0</v>
      </c>
      <c r="T43" s="4" t="n">
        <f aca="false">R43-S43</f>
        <v>3418.9</v>
      </c>
    </row>
    <row r="44" customFormat="false" ht="15" hidden="false" customHeight="false" outlineLevel="0" collapsed="false">
      <c r="A44" s="2" t="n">
        <v>800043</v>
      </c>
      <c r="B44" s="2" t="s">
        <v>157</v>
      </c>
      <c r="C44" s="2" t="s">
        <v>32</v>
      </c>
      <c r="D44" s="2" t="s">
        <v>151</v>
      </c>
      <c r="E44" s="2" t="s">
        <v>158</v>
      </c>
      <c r="F44" s="2" t="s">
        <v>24</v>
      </c>
      <c r="G44" s="2" t="s">
        <v>52</v>
      </c>
      <c r="H44" s="2" t="s">
        <v>26</v>
      </c>
      <c r="I44" s="2" t="s">
        <v>57</v>
      </c>
      <c r="J44" s="2" t="s">
        <v>58</v>
      </c>
      <c r="K44" s="2" t="s">
        <v>59</v>
      </c>
      <c r="L44" s="2" t="s">
        <v>82</v>
      </c>
      <c r="M44" s="2" t="n">
        <v>297</v>
      </c>
      <c r="N44" s="3" t="n">
        <v>20</v>
      </c>
      <c r="O44" s="4" t="n">
        <v>18.3</v>
      </c>
      <c r="P44" s="5" t="n">
        <v>0</v>
      </c>
      <c r="Q44" s="2" t="n">
        <v>0</v>
      </c>
      <c r="R44" s="4" t="n">
        <f aca="false">M44*O44</f>
        <v>5435.1</v>
      </c>
      <c r="S44" s="4" t="n">
        <f aca="false">R44*(P44/100)</f>
        <v>0</v>
      </c>
      <c r="T44" s="4" t="n">
        <f aca="false">R44-S44</f>
        <v>5435.1</v>
      </c>
    </row>
    <row r="45" customFormat="false" ht="15" hidden="false" customHeight="false" outlineLevel="0" collapsed="false">
      <c r="A45" s="2" t="n">
        <v>800044</v>
      </c>
      <c r="B45" s="2" t="s">
        <v>159</v>
      </c>
      <c r="C45" s="2" t="s">
        <v>41</v>
      </c>
      <c r="D45" s="2" t="s">
        <v>49</v>
      </c>
      <c r="E45" s="2" t="s">
        <v>50</v>
      </c>
      <c r="F45" s="2" t="s">
        <v>35</v>
      </c>
      <c r="G45" s="2" t="s">
        <v>103</v>
      </c>
      <c r="H45" s="2" t="s">
        <v>26</v>
      </c>
      <c r="I45" s="2" t="s">
        <v>57</v>
      </c>
      <c r="J45" s="2" t="s">
        <v>104</v>
      </c>
      <c r="K45" s="2" t="s">
        <v>59</v>
      </c>
      <c r="L45" s="2" t="s">
        <v>82</v>
      </c>
      <c r="M45" s="2" t="n">
        <v>172</v>
      </c>
      <c r="N45" s="3" t="n">
        <v>25</v>
      </c>
      <c r="O45" s="4" t="n">
        <v>23.89</v>
      </c>
      <c r="P45" s="5" t="n">
        <v>10</v>
      </c>
      <c r="Q45" s="2" t="n">
        <v>3</v>
      </c>
      <c r="R45" s="4" t="n">
        <f aca="false">M45*O45</f>
        <v>4109.08</v>
      </c>
      <c r="S45" s="4" t="n">
        <f aca="false">R45*(P45/100)</f>
        <v>410.908</v>
      </c>
      <c r="T45" s="4" t="n">
        <f aca="false">R45-S45</f>
        <v>3698.172</v>
      </c>
    </row>
    <row r="46" customFormat="false" ht="15" hidden="false" customHeight="false" outlineLevel="0" collapsed="false">
      <c r="A46" s="2" t="n">
        <v>800045</v>
      </c>
      <c r="B46" s="2" t="s">
        <v>160</v>
      </c>
      <c r="C46" s="2" t="s">
        <v>32</v>
      </c>
      <c r="D46" s="2" t="s">
        <v>151</v>
      </c>
      <c r="E46" s="2" t="s">
        <v>158</v>
      </c>
      <c r="F46" s="2" t="s">
        <v>87</v>
      </c>
      <c r="G46" s="2" t="s">
        <v>103</v>
      </c>
      <c r="H46" s="2" t="s">
        <v>26</v>
      </c>
      <c r="I46" s="2" t="s">
        <v>57</v>
      </c>
      <c r="J46" s="2" t="s">
        <v>104</v>
      </c>
      <c r="K46" s="2" t="s">
        <v>59</v>
      </c>
      <c r="L46" s="2" t="s">
        <v>161</v>
      </c>
      <c r="M46" s="2" t="n">
        <v>192</v>
      </c>
      <c r="N46" s="3" t="n">
        <v>25</v>
      </c>
      <c r="O46" s="4" t="n">
        <v>23.59</v>
      </c>
      <c r="P46" s="5" t="n">
        <v>10</v>
      </c>
      <c r="Q46" s="2" t="n">
        <v>0</v>
      </c>
      <c r="R46" s="4" t="n">
        <f aca="false">M46*O46</f>
        <v>4529.28</v>
      </c>
      <c r="S46" s="4" t="n">
        <f aca="false">R46*(P46/100)</f>
        <v>452.928</v>
      </c>
      <c r="T46" s="4" t="n">
        <f aca="false">R46-S46</f>
        <v>4076.352</v>
      </c>
    </row>
    <row r="47" customFormat="false" ht="15" hidden="false" customHeight="false" outlineLevel="0" collapsed="false">
      <c r="A47" s="2" t="n">
        <v>800046</v>
      </c>
      <c r="B47" s="2" t="s">
        <v>162</v>
      </c>
      <c r="C47" s="2" t="s">
        <v>32</v>
      </c>
      <c r="D47" s="2" t="s">
        <v>76</v>
      </c>
      <c r="E47" s="2" t="s">
        <v>96</v>
      </c>
      <c r="F47" s="2" t="s">
        <v>51</v>
      </c>
      <c r="G47" s="2" t="s">
        <v>143</v>
      </c>
      <c r="H47" s="2" t="s">
        <v>26</v>
      </c>
      <c r="I47" s="2" t="s">
        <v>37</v>
      </c>
      <c r="J47" s="2" t="s">
        <v>38</v>
      </c>
      <c r="K47" s="2" t="s">
        <v>39</v>
      </c>
      <c r="L47" s="2" t="s">
        <v>47</v>
      </c>
      <c r="M47" s="2" t="n">
        <v>349</v>
      </c>
      <c r="N47" s="3" t="n">
        <v>30</v>
      </c>
      <c r="O47" s="4" t="n">
        <v>27.3</v>
      </c>
      <c r="P47" s="5" t="n">
        <v>12.5</v>
      </c>
      <c r="Q47" s="2" t="n">
        <v>0</v>
      </c>
      <c r="R47" s="4" t="n">
        <f aca="false">M47*O47</f>
        <v>9527.7</v>
      </c>
      <c r="S47" s="4" t="n">
        <f aca="false">R47*(P47/100)</f>
        <v>1190.9625</v>
      </c>
      <c r="T47" s="4" t="n">
        <f aca="false">R47-S47</f>
        <v>8336.7375</v>
      </c>
    </row>
    <row r="48" customFormat="false" ht="15" hidden="false" customHeight="false" outlineLevel="0" collapsed="false">
      <c r="A48" s="2" t="n">
        <v>800047</v>
      </c>
      <c r="B48" s="2" t="s">
        <v>163</v>
      </c>
      <c r="C48" s="2" t="s">
        <v>84</v>
      </c>
      <c r="D48" s="2" t="s">
        <v>164</v>
      </c>
      <c r="E48" s="2" t="s">
        <v>165</v>
      </c>
      <c r="F48" s="2" t="s">
        <v>24</v>
      </c>
      <c r="G48" s="2" t="s">
        <v>94</v>
      </c>
      <c r="H48" s="2" t="s">
        <v>26</v>
      </c>
      <c r="I48" s="2" t="s">
        <v>44</v>
      </c>
      <c r="J48" s="2" t="s">
        <v>45</v>
      </c>
      <c r="K48" s="2" t="s">
        <v>111</v>
      </c>
      <c r="L48" s="2" t="s">
        <v>161</v>
      </c>
      <c r="M48" s="2" t="n">
        <v>162</v>
      </c>
      <c r="N48" s="3" t="n">
        <v>10</v>
      </c>
      <c r="O48" s="4" t="n">
        <v>9.55</v>
      </c>
      <c r="P48" s="5" t="n">
        <v>10</v>
      </c>
      <c r="Q48" s="2" t="n">
        <v>0</v>
      </c>
      <c r="R48" s="4" t="n">
        <f aca="false">M48*O48</f>
        <v>1547.1</v>
      </c>
      <c r="S48" s="4" t="n">
        <f aca="false">R48*(P48/100)</f>
        <v>154.71</v>
      </c>
      <c r="T48" s="4" t="n">
        <f aca="false">R48-S48</f>
        <v>1392.39</v>
      </c>
    </row>
    <row r="49" customFormat="false" ht="15" hidden="false" customHeight="false" outlineLevel="0" collapsed="false">
      <c r="A49" s="2" t="n">
        <v>800048</v>
      </c>
      <c r="B49" s="2" t="s">
        <v>166</v>
      </c>
      <c r="C49" s="2" t="s">
        <v>41</v>
      </c>
      <c r="D49" s="2" t="s">
        <v>73</v>
      </c>
      <c r="E49" s="2" t="s">
        <v>167</v>
      </c>
      <c r="F49" s="2" t="s">
        <v>35</v>
      </c>
      <c r="G49" s="2" t="s">
        <v>36</v>
      </c>
      <c r="H49" s="2" t="s">
        <v>26</v>
      </c>
      <c r="I49" s="2" t="s">
        <v>44</v>
      </c>
      <c r="J49" s="2" t="s">
        <v>45</v>
      </c>
      <c r="K49" s="2" t="s">
        <v>46</v>
      </c>
      <c r="L49" s="2" t="s">
        <v>47</v>
      </c>
      <c r="M49" s="2" t="n">
        <v>419</v>
      </c>
      <c r="N49" s="3" t="n">
        <v>20</v>
      </c>
      <c r="O49" s="4" t="n">
        <v>19.68</v>
      </c>
      <c r="P49" s="5" t="n">
        <v>0</v>
      </c>
      <c r="Q49" s="2" t="n">
        <v>0</v>
      </c>
      <c r="R49" s="4" t="n">
        <f aca="false">M49*O49</f>
        <v>8245.92</v>
      </c>
      <c r="S49" s="4" t="n">
        <f aca="false">R49*(P49/100)</f>
        <v>0</v>
      </c>
      <c r="T49" s="4" t="n">
        <f aca="false">R49-S49</f>
        <v>8245.92</v>
      </c>
    </row>
    <row r="50" customFormat="false" ht="15" hidden="false" customHeight="false" outlineLevel="0" collapsed="false">
      <c r="A50" s="2" t="n">
        <v>800049</v>
      </c>
      <c r="B50" s="2" t="s">
        <v>168</v>
      </c>
      <c r="C50" s="2" t="s">
        <v>32</v>
      </c>
      <c r="D50" s="2" t="s">
        <v>66</v>
      </c>
      <c r="E50" s="2" t="s">
        <v>113</v>
      </c>
      <c r="F50" s="2" t="s">
        <v>24</v>
      </c>
      <c r="G50" s="2" t="s">
        <v>106</v>
      </c>
      <c r="H50" s="2" t="s">
        <v>26</v>
      </c>
      <c r="I50" s="2" t="s">
        <v>57</v>
      </c>
      <c r="J50" s="2" t="s">
        <v>104</v>
      </c>
      <c r="K50" s="2" t="s">
        <v>59</v>
      </c>
      <c r="L50" s="2" t="s">
        <v>53</v>
      </c>
      <c r="M50" s="2" t="n">
        <v>131</v>
      </c>
      <c r="N50" s="3" t="n">
        <v>25</v>
      </c>
      <c r="O50" s="4" t="n">
        <v>22.88</v>
      </c>
      <c r="P50" s="5" t="n">
        <v>5</v>
      </c>
      <c r="Q50" s="2" t="n">
        <v>1</v>
      </c>
      <c r="R50" s="4" t="n">
        <f aca="false">M50*O50</f>
        <v>2997.28</v>
      </c>
      <c r="S50" s="4" t="n">
        <f aca="false">R50*(P50/100)</f>
        <v>149.864</v>
      </c>
      <c r="T50" s="4" t="n">
        <f aca="false">R50-S50</f>
        <v>2847.416</v>
      </c>
    </row>
    <row r="51" customFormat="false" ht="15" hidden="false" customHeight="false" outlineLevel="0" collapsed="false">
      <c r="A51" s="2" t="n">
        <v>800050</v>
      </c>
      <c r="B51" s="2" t="s">
        <v>169</v>
      </c>
      <c r="C51" s="2" t="s">
        <v>21</v>
      </c>
      <c r="D51" s="2" t="s">
        <v>116</v>
      </c>
      <c r="E51" s="2" t="s">
        <v>170</v>
      </c>
      <c r="F51" s="2" t="s">
        <v>78</v>
      </c>
      <c r="G51" s="2" t="s">
        <v>143</v>
      </c>
      <c r="H51" s="2" t="s">
        <v>26</v>
      </c>
      <c r="I51" s="2" t="s">
        <v>69</v>
      </c>
      <c r="J51" s="2" t="s">
        <v>81</v>
      </c>
      <c r="K51" s="2" t="s">
        <v>39</v>
      </c>
      <c r="L51" s="2" t="s">
        <v>53</v>
      </c>
      <c r="M51" s="2" t="n">
        <v>366</v>
      </c>
      <c r="N51" s="3" t="n">
        <v>20</v>
      </c>
      <c r="O51" s="4" t="n">
        <v>19.54</v>
      </c>
      <c r="P51" s="5" t="n">
        <v>10</v>
      </c>
      <c r="Q51" s="2" t="n">
        <v>1</v>
      </c>
      <c r="R51" s="4" t="n">
        <f aca="false">M51*O51</f>
        <v>7151.64</v>
      </c>
      <c r="S51" s="4" t="n">
        <f aca="false">R51*(P51/100)</f>
        <v>715.164</v>
      </c>
      <c r="T51" s="4" t="n">
        <f aca="false">R51-S51</f>
        <v>6436.476</v>
      </c>
    </row>
    <row r="52" customFormat="false" ht="15" hidden="false" customHeight="false" outlineLevel="0" collapsed="false">
      <c r="A52" s="2" t="n">
        <v>800051</v>
      </c>
      <c r="B52" s="2" t="s">
        <v>88</v>
      </c>
      <c r="C52" s="2" t="s">
        <v>21</v>
      </c>
      <c r="D52" s="2" t="s">
        <v>171</v>
      </c>
      <c r="E52" s="2" t="s">
        <v>172</v>
      </c>
      <c r="F52" s="2" t="s">
        <v>78</v>
      </c>
      <c r="G52" s="2" t="s">
        <v>125</v>
      </c>
      <c r="H52" s="2" t="s">
        <v>26</v>
      </c>
      <c r="I52" s="2" t="s">
        <v>44</v>
      </c>
      <c r="J52" s="2" t="s">
        <v>126</v>
      </c>
      <c r="K52" s="2" t="s">
        <v>71</v>
      </c>
      <c r="L52" s="2" t="s">
        <v>53</v>
      </c>
      <c r="M52" s="2" t="n">
        <v>432</v>
      </c>
      <c r="N52" s="3" t="n">
        <v>20</v>
      </c>
      <c r="O52" s="4" t="n">
        <v>17.34</v>
      </c>
      <c r="P52" s="5" t="n">
        <v>0</v>
      </c>
      <c r="Q52" s="2" t="n">
        <v>1</v>
      </c>
      <c r="R52" s="4" t="n">
        <f aca="false">M52*O52</f>
        <v>7490.88</v>
      </c>
      <c r="S52" s="4" t="n">
        <f aca="false">R52*(P52/100)</f>
        <v>0</v>
      </c>
      <c r="T52" s="4" t="n">
        <f aca="false">R52-S52</f>
        <v>7490.88</v>
      </c>
    </row>
    <row r="53" customFormat="false" ht="15" hidden="false" customHeight="false" outlineLevel="0" collapsed="false">
      <c r="A53" s="2" t="n">
        <v>800052</v>
      </c>
      <c r="B53" s="2" t="s">
        <v>173</v>
      </c>
      <c r="C53" s="2" t="s">
        <v>41</v>
      </c>
      <c r="D53" s="2" t="s">
        <v>49</v>
      </c>
      <c r="E53" s="2" t="s">
        <v>80</v>
      </c>
      <c r="F53" s="2" t="s">
        <v>78</v>
      </c>
      <c r="G53" s="2" t="s">
        <v>90</v>
      </c>
      <c r="H53" s="2" t="s">
        <v>26</v>
      </c>
      <c r="I53" s="2" t="s">
        <v>44</v>
      </c>
      <c r="J53" s="2" t="s">
        <v>45</v>
      </c>
      <c r="K53" s="2" t="s">
        <v>46</v>
      </c>
      <c r="L53" s="2" t="s">
        <v>161</v>
      </c>
      <c r="M53" s="2" t="n">
        <v>441</v>
      </c>
      <c r="N53" s="3" t="n">
        <v>20</v>
      </c>
      <c r="O53" s="4" t="n">
        <v>18.37</v>
      </c>
      <c r="P53" s="5" t="n">
        <v>10</v>
      </c>
      <c r="Q53" s="2" t="n">
        <v>1</v>
      </c>
      <c r="R53" s="4" t="n">
        <f aca="false">M53*O53</f>
        <v>8101.17</v>
      </c>
      <c r="S53" s="4" t="n">
        <f aca="false">R53*(P53/100)</f>
        <v>810.117</v>
      </c>
      <c r="T53" s="4" t="n">
        <f aca="false">R53-S53</f>
        <v>7291.053</v>
      </c>
    </row>
    <row r="54" customFormat="false" ht="15" hidden="false" customHeight="false" outlineLevel="0" collapsed="false">
      <c r="A54" s="2" t="n">
        <v>800053</v>
      </c>
      <c r="B54" s="2" t="s">
        <v>174</v>
      </c>
      <c r="C54" s="2" t="s">
        <v>41</v>
      </c>
      <c r="D54" s="2" t="s">
        <v>49</v>
      </c>
      <c r="E54" s="2" t="s">
        <v>50</v>
      </c>
      <c r="F54" s="2" t="s">
        <v>51</v>
      </c>
      <c r="G54" s="2" t="s">
        <v>106</v>
      </c>
      <c r="H54" s="2" t="s">
        <v>26</v>
      </c>
      <c r="I54" s="2" t="s">
        <v>37</v>
      </c>
      <c r="J54" s="2" t="s">
        <v>38</v>
      </c>
      <c r="K54" s="2" t="s">
        <v>39</v>
      </c>
      <c r="L54" s="2" t="s">
        <v>53</v>
      </c>
      <c r="M54" s="2" t="n">
        <v>433</v>
      </c>
      <c r="N54" s="3" t="n">
        <v>30</v>
      </c>
      <c r="O54" s="4" t="n">
        <v>29.36</v>
      </c>
      <c r="P54" s="5" t="n">
        <v>12.5</v>
      </c>
      <c r="Q54" s="2" t="n">
        <v>2</v>
      </c>
      <c r="R54" s="4" t="n">
        <f aca="false">M54*O54</f>
        <v>12712.88</v>
      </c>
      <c r="S54" s="4" t="n">
        <f aca="false">R54*(P54/100)</f>
        <v>1589.11</v>
      </c>
      <c r="T54" s="4" t="n">
        <f aca="false">R54-S54</f>
        <v>11123.77</v>
      </c>
    </row>
    <row r="55" customFormat="false" ht="15" hidden="false" customHeight="false" outlineLevel="0" collapsed="false">
      <c r="A55" s="2" t="n">
        <v>800054</v>
      </c>
      <c r="B55" s="2" t="s">
        <v>175</v>
      </c>
      <c r="C55" s="2" t="s">
        <v>84</v>
      </c>
      <c r="D55" s="2" t="s">
        <v>119</v>
      </c>
      <c r="E55" s="2" t="s">
        <v>120</v>
      </c>
      <c r="F55" s="2" t="s">
        <v>78</v>
      </c>
      <c r="G55" s="2" t="s">
        <v>68</v>
      </c>
      <c r="H55" s="2" t="s">
        <v>26</v>
      </c>
      <c r="I55" s="2" t="s">
        <v>57</v>
      </c>
      <c r="J55" s="2" t="s">
        <v>104</v>
      </c>
      <c r="K55" s="2" t="s">
        <v>59</v>
      </c>
      <c r="L55" s="2" t="s">
        <v>60</v>
      </c>
      <c r="M55" s="2" t="n">
        <v>311</v>
      </c>
      <c r="N55" s="3" t="n">
        <v>25</v>
      </c>
      <c r="O55" s="4" t="n">
        <v>23.39</v>
      </c>
      <c r="P55" s="5" t="n">
        <v>10</v>
      </c>
      <c r="Q55" s="2" t="n">
        <v>1</v>
      </c>
      <c r="R55" s="4" t="n">
        <f aca="false">M55*O55</f>
        <v>7274.29</v>
      </c>
      <c r="S55" s="4" t="n">
        <f aca="false">R55*(P55/100)</f>
        <v>727.429</v>
      </c>
      <c r="T55" s="4" t="n">
        <f aca="false">R55-S55</f>
        <v>6546.861</v>
      </c>
    </row>
    <row r="56" customFormat="false" ht="15" hidden="false" customHeight="false" outlineLevel="0" collapsed="false">
      <c r="A56" s="2" t="n">
        <v>800055</v>
      </c>
      <c r="B56" s="2" t="s">
        <v>176</v>
      </c>
      <c r="C56" s="2" t="s">
        <v>41</v>
      </c>
      <c r="D56" s="2" t="s">
        <v>42</v>
      </c>
      <c r="E56" s="2" t="s">
        <v>131</v>
      </c>
      <c r="F56" s="2" t="s">
        <v>51</v>
      </c>
      <c r="G56" s="2" t="s">
        <v>25</v>
      </c>
      <c r="H56" s="2" t="s">
        <v>26</v>
      </c>
      <c r="I56" s="2" t="s">
        <v>44</v>
      </c>
      <c r="J56" s="2" t="s">
        <v>45</v>
      </c>
      <c r="K56" s="2" t="s">
        <v>111</v>
      </c>
      <c r="L56" s="2" t="s">
        <v>82</v>
      </c>
      <c r="M56" s="2" t="n">
        <v>163</v>
      </c>
      <c r="N56" s="3" t="n">
        <v>10</v>
      </c>
      <c r="O56" s="4" t="n">
        <v>9.73</v>
      </c>
      <c r="P56" s="5" t="n">
        <v>5</v>
      </c>
      <c r="Q56" s="2" t="n">
        <v>3</v>
      </c>
      <c r="R56" s="4" t="n">
        <f aca="false">M56*O56</f>
        <v>1585.99</v>
      </c>
      <c r="S56" s="4" t="n">
        <f aca="false">R56*(P56/100)</f>
        <v>79.2995</v>
      </c>
      <c r="T56" s="4" t="n">
        <f aca="false">R56-S56</f>
        <v>1506.6905</v>
      </c>
    </row>
    <row r="57" customFormat="false" ht="15" hidden="false" customHeight="false" outlineLevel="0" collapsed="false">
      <c r="A57" s="2" t="n">
        <v>800056</v>
      </c>
      <c r="B57" s="2" t="s">
        <v>20</v>
      </c>
      <c r="C57" s="2" t="s">
        <v>32</v>
      </c>
      <c r="D57" s="2" t="s">
        <v>66</v>
      </c>
      <c r="E57" s="2" t="s">
        <v>113</v>
      </c>
      <c r="F57" s="2" t="s">
        <v>51</v>
      </c>
      <c r="G57" s="2" t="s">
        <v>94</v>
      </c>
      <c r="H57" s="2" t="s">
        <v>26</v>
      </c>
      <c r="I57" s="2" t="s">
        <v>37</v>
      </c>
      <c r="J57" s="2" t="s">
        <v>38</v>
      </c>
      <c r="K57" s="2" t="s">
        <v>39</v>
      </c>
      <c r="L57" s="2" t="s">
        <v>60</v>
      </c>
      <c r="M57" s="2" t="n">
        <v>350</v>
      </c>
      <c r="N57" s="3" t="n">
        <v>30</v>
      </c>
      <c r="O57" s="4" t="n">
        <v>28.49</v>
      </c>
      <c r="P57" s="5" t="n">
        <v>12.5</v>
      </c>
      <c r="Q57" s="2" t="n">
        <v>0</v>
      </c>
      <c r="R57" s="4" t="n">
        <f aca="false">M57*O57</f>
        <v>9971.5</v>
      </c>
      <c r="S57" s="4" t="n">
        <f aca="false">R57*(P57/100)</f>
        <v>1246.4375</v>
      </c>
      <c r="T57" s="4" t="n">
        <f aca="false">R57-S57</f>
        <v>8725.0625</v>
      </c>
    </row>
    <row r="58" customFormat="false" ht="15" hidden="false" customHeight="false" outlineLevel="0" collapsed="false">
      <c r="A58" s="2" t="n">
        <v>800057</v>
      </c>
      <c r="B58" s="2" t="s">
        <v>140</v>
      </c>
      <c r="C58" s="2" t="s">
        <v>84</v>
      </c>
      <c r="D58" s="2" t="s">
        <v>85</v>
      </c>
      <c r="E58" s="2" t="s">
        <v>124</v>
      </c>
      <c r="F58" s="2" t="s">
        <v>24</v>
      </c>
      <c r="G58" s="2" t="s">
        <v>68</v>
      </c>
      <c r="H58" s="2" t="s">
        <v>26</v>
      </c>
      <c r="I58" s="2" t="s">
        <v>37</v>
      </c>
      <c r="J58" s="2" t="s">
        <v>38</v>
      </c>
      <c r="K58" s="2" t="s">
        <v>39</v>
      </c>
      <c r="L58" s="2" t="s">
        <v>60</v>
      </c>
      <c r="M58" s="2" t="n">
        <v>303</v>
      </c>
      <c r="N58" s="3" t="n">
        <v>30</v>
      </c>
      <c r="O58" s="4" t="n">
        <v>27.73</v>
      </c>
      <c r="P58" s="5" t="n">
        <v>10</v>
      </c>
      <c r="Q58" s="2" t="n">
        <v>3</v>
      </c>
      <c r="R58" s="4" t="n">
        <f aca="false">M58*O58</f>
        <v>8402.19</v>
      </c>
      <c r="S58" s="4" t="n">
        <f aca="false">R58*(P58/100)</f>
        <v>840.219</v>
      </c>
      <c r="T58" s="4" t="n">
        <f aca="false">R58-S58</f>
        <v>7561.971</v>
      </c>
    </row>
    <row r="59" customFormat="false" ht="15" hidden="false" customHeight="false" outlineLevel="0" collapsed="false">
      <c r="A59" s="2" t="n">
        <v>800058</v>
      </c>
      <c r="B59" s="2" t="s">
        <v>177</v>
      </c>
      <c r="C59" s="2" t="s">
        <v>84</v>
      </c>
      <c r="D59" s="2" t="s">
        <v>164</v>
      </c>
      <c r="E59" s="2" t="s">
        <v>165</v>
      </c>
      <c r="F59" s="2" t="s">
        <v>87</v>
      </c>
      <c r="G59" s="2" t="s">
        <v>68</v>
      </c>
      <c r="H59" s="2" t="s">
        <v>26</v>
      </c>
      <c r="I59" s="2" t="s">
        <v>27</v>
      </c>
      <c r="J59" s="2" t="s">
        <v>28</v>
      </c>
      <c r="K59" s="2" t="s">
        <v>29</v>
      </c>
      <c r="L59" s="2" t="s">
        <v>99</v>
      </c>
      <c r="M59" s="2" t="n">
        <v>181</v>
      </c>
      <c r="N59" s="3" t="n">
        <v>30</v>
      </c>
      <c r="O59" s="4" t="n">
        <v>26</v>
      </c>
      <c r="P59" s="5" t="n">
        <v>0</v>
      </c>
      <c r="Q59" s="2" t="n">
        <v>0</v>
      </c>
      <c r="R59" s="4" t="n">
        <f aca="false">M59*O59</f>
        <v>4706</v>
      </c>
      <c r="S59" s="4" t="n">
        <f aca="false">R59*(P59/100)</f>
        <v>0</v>
      </c>
      <c r="T59" s="4" t="n">
        <f aca="false">R59-S59</f>
        <v>4706</v>
      </c>
    </row>
    <row r="60" customFormat="false" ht="15" hidden="false" customHeight="false" outlineLevel="0" collapsed="false">
      <c r="A60" s="2" t="n">
        <v>800059</v>
      </c>
      <c r="B60" s="2" t="s">
        <v>178</v>
      </c>
      <c r="C60" s="2" t="s">
        <v>41</v>
      </c>
      <c r="D60" s="2" t="s">
        <v>42</v>
      </c>
      <c r="E60" s="2" t="s">
        <v>179</v>
      </c>
      <c r="F60" s="2" t="s">
        <v>35</v>
      </c>
      <c r="G60" s="2" t="s">
        <v>90</v>
      </c>
      <c r="H60" s="2" t="s">
        <v>26</v>
      </c>
      <c r="I60" s="2" t="s">
        <v>37</v>
      </c>
      <c r="J60" s="2" t="s">
        <v>38</v>
      </c>
      <c r="K60" s="2" t="s">
        <v>39</v>
      </c>
      <c r="L60" s="2" t="s">
        <v>47</v>
      </c>
      <c r="M60" s="2" t="n">
        <v>446</v>
      </c>
      <c r="N60" s="3" t="n">
        <v>30</v>
      </c>
      <c r="O60" s="4" t="n">
        <v>26.32</v>
      </c>
      <c r="P60" s="5" t="n">
        <v>2</v>
      </c>
      <c r="Q60" s="2" t="n">
        <v>1</v>
      </c>
      <c r="R60" s="4" t="n">
        <f aca="false">M60*O60</f>
        <v>11738.72</v>
      </c>
      <c r="S60" s="4" t="n">
        <f aca="false">R60*(P60/100)</f>
        <v>234.7744</v>
      </c>
      <c r="T60" s="4" t="n">
        <f aca="false">R60-S60</f>
        <v>11503.9456</v>
      </c>
    </row>
    <row r="61" customFormat="false" ht="15" hidden="false" customHeight="false" outlineLevel="0" collapsed="false">
      <c r="A61" s="2" t="n">
        <v>800060</v>
      </c>
      <c r="B61" s="2" t="s">
        <v>180</v>
      </c>
      <c r="C61" s="2" t="s">
        <v>84</v>
      </c>
      <c r="D61" s="2" t="s">
        <v>128</v>
      </c>
      <c r="E61" s="2" t="s">
        <v>129</v>
      </c>
      <c r="F61" s="2" t="s">
        <v>87</v>
      </c>
      <c r="G61" s="2" t="s">
        <v>36</v>
      </c>
      <c r="H61" s="2" t="s">
        <v>26</v>
      </c>
      <c r="I61" s="2" t="s">
        <v>69</v>
      </c>
      <c r="J61" s="2" t="s">
        <v>81</v>
      </c>
      <c r="K61" s="2" t="s">
        <v>39</v>
      </c>
      <c r="L61" s="2" t="s">
        <v>64</v>
      </c>
      <c r="M61" s="2" t="n">
        <v>346</v>
      </c>
      <c r="N61" s="3" t="n">
        <v>20</v>
      </c>
      <c r="O61" s="4" t="n">
        <v>19.43</v>
      </c>
      <c r="P61" s="5" t="n">
        <v>12.5</v>
      </c>
      <c r="Q61" s="2" t="n">
        <v>0</v>
      </c>
      <c r="R61" s="4" t="n">
        <f aca="false">M61*O61</f>
        <v>6722.78</v>
      </c>
      <c r="S61" s="4" t="n">
        <f aca="false">R61*(P61/100)</f>
        <v>840.3475</v>
      </c>
      <c r="T61" s="4" t="n">
        <f aca="false">R61-S61</f>
        <v>5882.4325</v>
      </c>
    </row>
    <row r="62" customFormat="false" ht="15" hidden="false" customHeight="false" outlineLevel="0" collapsed="false">
      <c r="A62" s="2" t="n">
        <v>800061</v>
      </c>
      <c r="B62" s="2" t="s">
        <v>181</v>
      </c>
      <c r="C62" s="2" t="s">
        <v>84</v>
      </c>
      <c r="D62" s="2" t="s">
        <v>164</v>
      </c>
      <c r="E62" s="2" t="s">
        <v>165</v>
      </c>
      <c r="F62" s="2" t="s">
        <v>51</v>
      </c>
      <c r="G62" s="2" t="s">
        <v>137</v>
      </c>
      <c r="H62" s="2" t="s">
        <v>26</v>
      </c>
      <c r="I62" s="2" t="s">
        <v>27</v>
      </c>
      <c r="J62" s="2" t="s">
        <v>28</v>
      </c>
      <c r="K62" s="2" t="s">
        <v>29</v>
      </c>
      <c r="L62" s="2" t="s">
        <v>107</v>
      </c>
      <c r="M62" s="2" t="n">
        <v>461</v>
      </c>
      <c r="N62" s="3" t="n">
        <v>30</v>
      </c>
      <c r="O62" s="4" t="n">
        <v>27.51</v>
      </c>
      <c r="P62" s="5" t="n">
        <v>0</v>
      </c>
      <c r="Q62" s="2" t="n">
        <v>1</v>
      </c>
      <c r="R62" s="4" t="n">
        <f aca="false">M62*O62</f>
        <v>12682.11</v>
      </c>
      <c r="S62" s="4" t="n">
        <f aca="false">R62*(P62/100)</f>
        <v>0</v>
      </c>
      <c r="T62" s="4" t="n">
        <f aca="false">R62-S62</f>
        <v>12682.11</v>
      </c>
    </row>
    <row r="63" customFormat="false" ht="15" hidden="false" customHeight="false" outlineLevel="0" collapsed="false">
      <c r="A63" s="2" t="n">
        <v>800062</v>
      </c>
      <c r="B63" s="2" t="s">
        <v>182</v>
      </c>
      <c r="C63" s="2" t="s">
        <v>21</v>
      </c>
      <c r="D63" s="2" t="s">
        <v>171</v>
      </c>
      <c r="E63" s="2" t="s">
        <v>172</v>
      </c>
      <c r="F63" s="2" t="s">
        <v>24</v>
      </c>
      <c r="G63" s="2" t="s">
        <v>106</v>
      </c>
      <c r="H63" s="2" t="s">
        <v>26</v>
      </c>
      <c r="I63" s="2" t="s">
        <v>37</v>
      </c>
      <c r="J63" s="2" t="s">
        <v>38</v>
      </c>
      <c r="K63" s="2" t="s">
        <v>39</v>
      </c>
      <c r="L63" s="2" t="s">
        <v>47</v>
      </c>
      <c r="M63" s="2" t="n">
        <v>147</v>
      </c>
      <c r="N63" s="3" t="n">
        <v>30</v>
      </c>
      <c r="O63" s="4" t="n">
        <v>26</v>
      </c>
      <c r="P63" s="5" t="n">
        <v>10</v>
      </c>
      <c r="Q63" s="2" t="n">
        <v>0</v>
      </c>
      <c r="R63" s="4" t="n">
        <f aca="false">M63*O63</f>
        <v>3822</v>
      </c>
      <c r="S63" s="4" t="n">
        <f aca="false">R63*(P63/100)</f>
        <v>382.2</v>
      </c>
      <c r="T63" s="4" t="n">
        <f aca="false">R63-S63</f>
        <v>3439.8</v>
      </c>
    </row>
    <row r="64" customFormat="false" ht="15" hidden="false" customHeight="false" outlineLevel="0" collapsed="false">
      <c r="A64" s="2" t="n">
        <v>800063</v>
      </c>
      <c r="B64" s="2" t="s">
        <v>183</v>
      </c>
      <c r="C64" s="2" t="s">
        <v>41</v>
      </c>
      <c r="D64" s="2" t="s">
        <v>42</v>
      </c>
      <c r="E64" s="2" t="s">
        <v>43</v>
      </c>
      <c r="F64" s="2" t="s">
        <v>87</v>
      </c>
      <c r="G64" s="2" t="s">
        <v>143</v>
      </c>
      <c r="H64" s="2" t="s">
        <v>26</v>
      </c>
      <c r="I64" s="2" t="s">
        <v>57</v>
      </c>
      <c r="J64" s="2" t="s">
        <v>58</v>
      </c>
      <c r="K64" s="2" t="s">
        <v>59</v>
      </c>
      <c r="L64" s="2" t="s">
        <v>53</v>
      </c>
      <c r="M64" s="2" t="n">
        <v>337</v>
      </c>
      <c r="N64" s="3" t="n">
        <v>20</v>
      </c>
      <c r="O64" s="4" t="n">
        <v>17.17</v>
      </c>
      <c r="P64" s="5" t="n">
        <v>0</v>
      </c>
      <c r="Q64" s="2" t="n">
        <v>0</v>
      </c>
      <c r="R64" s="4" t="n">
        <f aca="false">M64*O64</f>
        <v>5786.29</v>
      </c>
      <c r="S64" s="4" t="n">
        <f aca="false">R64*(P64/100)</f>
        <v>0</v>
      </c>
      <c r="T64" s="4" t="n">
        <f aca="false">R64-S64</f>
        <v>5786.29</v>
      </c>
    </row>
    <row r="65" customFormat="false" ht="15" hidden="false" customHeight="false" outlineLevel="0" collapsed="false">
      <c r="A65" s="2" t="n">
        <v>800064</v>
      </c>
      <c r="B65" s="2" t="s">
        <v>184</v>
      </c>
      <c r="C65" s="2" t="s">
        <v>32</v>
      </c>
      <c r="D65" s="2" t="s">
        <v>55</v>
      </c>
      <c r="E65" s="2" t="s">
        <v>56</v>
      </c>
      <c r="F65" s="2" t="s">
        <v>24</v>
      </c>
      <c r="G65" s="2" t="s">
        <v>25</v>
      </c>
      <c r="H65" s="2" t="s">
        <v>26</v>
      </c>
      <c r="I65" s="2" t="s">
        <v>27</v>
      </c>
      <c r="J65" s="2" t="s">
        <v>28</v>
      </c>
      <c r="K65" s="2" t="s">
        <v>29</v>
      </c>
      <c r="L65" s="2" t="s">
        <v>64</v>
      </c>
      <c r="M65" s="2" t="n">
        <v>21</v>
      </c>
      <c r="N65" s="3" t="n">
        <v>30</v>
      </c>
      <c r="O65" s="4" t="n">
        <v>27.22</v>
      </c>
      <c r="P65" s="5" t="n">
        <v>12.5</v>
      </c>
      <c r="Q65" s="2" t="n">
        <v>0</v>
      </c>
      <c r="R65" s="4" t="n">
        <f aca="false">M65*O65</f>
        <v>571.62</v>
      </c>
      <c r="S65" s="4" t="n">
        <f aca="false">R65*(P65/100)</f>
        <v>71.4525</v>
      </c>
      <c r="T65" s="4" t="n">
        <f aca="false">R65-S65</f>
        <v>500.1675</v>
      </c>
    </row>
    <row r="66" customFormat="false" ht="15" hidden="false" customHeight="false" outlineLevel="0" collapsed="false">
      <c r="A66" s="2" t="n">
        <v>800065</v>
      </c>
      <c r="B66" s="2" t="s">
        <v>185</v>
      </c>
      <c r="C66" s="2" t="s">
        <v>32</v>
      </c>
      <c r="D66" s="2" t="s">
        <v>55</v>
      </c>
      <c r="E66" s="2" t="s">
        <v>93</v>
      </c>
      <c r="F66" s="2" t="s">
        <v>51</v>
      </c>
      <c r="G66" s="2" t="s">
        <v>52</v>
      </c>
      <c r="H66" s="2" t="s">
        <v>26</v>
      </c>
      <c r="I66" s="2" t="s">
        <v>27</v>
      </c>
      <c r="J66" s="2" t="s">
        <v>91</v>
      </c>
      <c r="K66" s="2" t="s">
        <v>29</v>
      </c>
      <c r="L66" s="2" t="s">
        <v>53</v>
      </c>
      <c r="M66" s="2" t="n">
        <v>358</v>
      </c>
      <c r="N66" s="3" t="n">
        <v>35</v>
      </c>
      <c r="O66" s="4" t="n">
        <v>33.69</v>
      </c>
      <c r="P66" s="5" t="n">
        <v>2</v>
      </c>
      <c r="Q66" s="2" t="n">
        <v>1</v>
      </c>
      <c r="R66" s="4" t="n">
        <f aca="false">M66*O66</f>
        <v>12061.02</v>
      </c>
      <c r="S66" s="4" t="n">
        <f aca="false">R66*(P66/100)</f>
        <v>241.2204</v>
      </c>
      <c r="T66" s="4" t="n">
        <f aca="false">R66-S66</f>
        <v>11819.7996</v>
      </c>
    </row>
    <row r="67" customFormat="false" ht="15" hidden="false" customHeight="false" outlineLevel="0" collapsed="false">
      <c r="A67" s="2" t="n">
        <v>800066</v>
      </c>
      <c r="B67" s="2" t="s">
        <v>186</v>
      </c>
      <c r="C67" s="2" t="s">
        <v>32</v>
      </c>
      <c r="D67" s="2" t="s">
        <v>33</v>
      </c>
      <c r="E67" s="2" t="s">
        <v>187</v>
      </c>
      <c r="F67" s="2" t="s">
        <v>24</v>
      </c>
      <c r="G67" s="2" t="s">
        <v>52</v>
      </c>
      <c r="H67" s="2" t="s">
        <v>26</v>
      </c>
      <c r="I67" s="2" t="s">
        <v>69</v>
      </c>
      <c r="J67" s="2" t="s">
        <v>70</v>
      </c>
      <c r="K67" s="2" t="s">
        <v>39</v>
      </c>
      <c r="L67" s="2" t="s">
        <v>107</v>
      </c>
      <c r="M67" s="2" t="n">
        <v>324</v>
      </c>
      <c r="N67" s="3" t="n">
        <v>20</v>
      </c>
      <c r="O67" s="4" t="n">
        <v>19.1</v>
      </c>
      <c r="P67" s="5" t="n">
        <v>5</v>
      </c>
      <c r="Q67" s="2" t="n">
        <v>2</v>
      </c>
      <c r="R67" s="4" t="n">
        <f aca="false">M67*O67</f>
        <v>6188.4</v>
      </c>
      <c r="S67" s="4" t="n">
        <f aca="false">R67*(P67/100)</f>
        <v>309.42</v>
      </c>
      <c r="T67" s="4" t="n">
        <f aca="false">R67-S67</f>
        <v>5878.98</v>
      </c>
    </row>
    <row r="68" customFormat="false" ht="15" hidden="false" customHeight="false" outlineLevel="0" collapsed="false">
      <c r="A68" s="2" t="n">
        <v>800067</v>
      </c>
      <c r="B68" s="2" t="s">
        <v>188</v>
      </c>
      <c r="C68" s="2" t="s">
        <v>41</v>
      </c>
      <c r="D68" s="2" t="s">
        <v>49</v>
      </c>
      <c r="E68" s="2" t="s">
        <v>80</v>
      </c>
      <c r="F68" s="2" t="s">
        <v>51</v>
      </c>
      <c r="G68" s="2" t="s">
        <v>68</v>
      </c>
      <c r="H68" s="2" t="s">
        <v>26</v>
      </c>
      <c r="I68" s="2" t="s">
        <v>37</v>
      </c>
      <c r="J68" s="2" t="s">
        <v>38</v>
      </c>
      <c r="K68" s="2" t="s">
        <v>39</v>
      </c>
      <c r="L68" s="2" t="s">
        <v>60</v>
      </c>
      <c r="M68" s="2" t="n">
        <v>61</v>
      </c>
      <c r="N68" s="3" t="n">
        <v>30</v>
      </c>
      <c r="O68" s="4" t="n">
        <v>28.01</v>
      </c>
      <c r="P68" s="5" t="n">
        <v>10</v>
      </c>
      <c r="Q68" s="2" t="n">
        <v>1</v>
      </c>
      <c r="R68" s="4" t="n">
        <f aca="false">M68*O68</f>
        <v>1708.61</v>
      </c>
      <c r="S68" s="4" t="n">
        <f aca="false">R68*(P68/100)</f>
        <v>170.861</v>
      </c>
      <c r="T68" s="4" t="n">
        <f aca="false">R68-S68</f>
        <v>1537.749</v>
      </c>
    </row>
    <row r="69" customFormat="false" ht="15" hidden="false" customHeight="false" outlineLevel="0" collapsed="false">
      <c r="A69" s="2" t="n">
        <v>800068</v>
      </c>
      <c r="B69" s="2" t="s">
        <v>189</v>
      </c>
      <c r="C69" s="2" t="s">
        <v>84</v>
      </c>
      <c r="D69" s="2" t="s">
        <v>128</v>
      </c>
      <c r="E69" s="2" t="s">
        <v>129</v>
      </c>
      <c r="F69" s="2" t="s">
        <v>24</v>
      </c>
      <c r="G69" s="2" t="s">
        <v>62</v>
      </c>
      <c r="H69" s="2" t="s">
        <v>26</v>
      </c>
      <c r="I69" s="2" t="s">
        <v>37</v>
      </c>
      <c r="J69" s="2" t="s">
        <v>38</v>
      </c>
      <c r="K69" s="2" t="s">
        <v>39</v>
      </c>
      <c r="L69" s="2" t="s">
        <v>107</v>
      </c>
      <c r="M69" s="2" t="n">
        <v>315</v>
      </c>
      <c r="N69" s="3" t="n">
        <v>30</v>
      </c>
      <c r="O69" s="4" t="n">
        <v>25.67</v>
      </c>
      <c r="P69" s="5" t="n">
        <v>0</v>
      </c>
      <c r="Q69" s="2" t="n">
        <v>2</v>
      </c>
      <c r="R69" s="4" t="n">
        <f aca="false">M69*O69</f>
        <v>8086.05</v>
      </c>
      <c r="S69" s="4" t="n">
        <f aca="false">R69*(P69/100)</f>
        <v>0</v>
      </c>
      <c r="T69" s="4" t="n">
        <f aca="false">R69-S69</f>
        <v>8086.05</v>
      </c>
    </row>
    <row r="70" customFormat="false" ht="15" hidden="false" customHeight="false" outlineLevel="0" collapsed="false">
      <c r="A70" s="2" t="n">
        <v>800069</v>
      </c>
      <c r="B70" s="2" t="s">
        <v>130</v>
      </c>
      <c r="C70" s="2" t="s">
        <v>41</v>
      </c>
      <c r="D70" s="2" t="s">
        <v>42</v>
      </c>
      <c r="E70" s="2" t="s">
        <v>131</v>
      </c>
      <c r="F70" s="2" t="s">
        <v>35</v>
      </c>
      <c r="G70" s="2" t="s">
        <v>103</v>
      </c>
      <c r="H70" s="2" t="s">
        <v>26</v>
      </c>
      <c r="I70" s="2" t="s">
        <v>57</v>
      </c>
      <c r="J70" s="2" t="s">
        <v>104</v>
      </c>
      <c r="K70" s="2" t="s">
        <v>59</v>
      </c>
      <c r="L70" s="2" t="s">
        <v>60</v>
      </c>
      <c r="M70" s="2" t="n">
        <v>198</v>
      </c>
      <c r="N70" s="3" t="n">
        <v>25</v>
      </c>
      <c r="O70" s="4" t="n">
        <v>22.68</v>
      </c>
      <c r="P70" s="5" t="n">
        <v>7.5</v>
      </c>
      <c r="Q70" s="2" t="n">
        <v>0</v>
      </c>
      <c r="R70" s="4" t="n">
        <f aca="false">M70*O70</f>
        <v>4490.64</v>
      </c>
      <c r="S70" s="4" t="n">
        <f aca="false">R70*(P70/100)</f>
        <v>336.798</v>
      </c>
      <c r="T70" s="4" t="n">
        <f aca="false">R70-S70</f>
        <v>4153.842</v>
      </c>
    </row>
    <row r="71" customFormat="false" ht="15" hidden="false" customHeight="false" outlineLevel="0" collapsed="false">
      <c r="A71" s="2" t="n">
        <v>800070</v>
      </c>
      <c r="B71" s="2" t="s">
        <v>190</v>
      </c>
      <c r="C71" s="2" t="s">
        <v>84</v>
      </c>
      <c r="D71" s="2" t="s">
        <v>164</v>
      </c>
      <c r="E71" s="2" t="s">
        <v>165</v>
      </c>
      <c r="F71" s="2" t="s">
        <v>87</v>
      </c>
      <c r="G71" s="2" t="s">
        <v>62</v>
      </c>
      <c r="H71" s="2" t="s">
        <v>26</v>
      </c>
      <c r="I71" s="2" t="s">
        <v>57</v>
      </c>
      <c r="J71" s="2" t="s">
        <v>104</v>
      </c>
      <c r="K71" s="2" t="s">
        <v>59</v>
      </c>
      <c r="L71" s="2" t="s">
        <v>60</v>
      </c>
      <c r="M71" s="2" t="n">
        <v>65</v>
      </c>
      <c r="N71" s="3" t="n">
        <v>25</v>
      </c>
      <c r="O71" s="4" t="n">
        <v>22.35</v>
      </c>
      <c r="P71" s="5" t="n">
        <v>7.5</v>
      </c>
      <c r="Q71" s="2" t="n">
        <v>0</v>
      </c>
      <c r="R71" s="4" t="n">
        <f aca="false">M71*O71</f>
        <v>1452.75</v>
      </c>
      <c r="S71" s="4" t="n">
        <f aca="false">R71*(P71/100)</f>
        <v>108.95625</v>
      </c>
      <c r="T71" s="4" t="n">
        <f aca="false">R71-S71</f>
        <v>1343.79375</v>
      </c>
    </row>
    <row r="72" customFormat="false" ht="15" hidden="false" customHeight="false" outlineLevel="0" collapsed="false">
      <c r="A72" s="2" t="n">
        <v>800071</v>
      </c>
      <c r="B72" s="2" t="s">
        <v>191</v>
      </c>
      <c r="C72" s="2" t="s">
        <v>21</v>
      </c>
      <c r="D72" s="2" t="s">
        <v>171</v>
      </c>
      <c r="E72" s="2" t="s">
        <v>192</v>
      </c>
      <c r="F72" s="2" t="s">
        <v>51</v>
      </c>
      <c r="G72" s="2" t="s">
        <v>36</v>
      </c>
      <c r="H72" s="2" t="s">
        <v>26</v>
      </c>
      <c r="I72" s="2" t="s">
        <v>27</v>
      </c>
      <c r="J72" s="2" t="s">
        <v>91</v>
      </c>
      <c r="K72" s="2" t="s">
        <v>29</v>
      </c>
      <c r="L72" s="2" t="s">
        <v>53</v>
      </c>
      <c r="M72" s="2" t="n">
        <v>407</v>
      </c>
      <c r="N72" s="3" t="n">
        <v>35</v>
      </c>
      <c r="O72" s="4" t="n">
        <v>32.19</v>
      </c>
      <c r="P72" s="5" t="n">
        <v>12.5</v>
      </c>
      <c r="Q72" s="2" t="n">
        <v>0</v>
      </c>
      <c r="R72" s="4" t="n">
        <f aca="false">M72*O72</f>
        <v>13101.33</v>
      </c>
      <c r="S72" s="4" t="n">
        <f aca="false">R72*(P72/100)</f>
        <v>1637.66625</v>
      </c>
      <c r="T72" s="4" t="n">
        <f aca="false">R72-S72</f>
        <v>11463.66375</v>
      </c>
    </row>
    <row r="73" customFormat="false" ht="15" hidden="false" customHeight="false" outlineLevel="0" collapsed="false">
      <c r="A73" s="2" t="n">
        <v>800072</v>
      </c>
      <c r="B73" s="2" t="s">
        <v>193</v>
      </c>
      <c r="C73" s="2" t="s">
        <v>84</v>
      </c>
      <c r="D73" s="2" t="s">
        <v>85</v>
      </c>
      <c r="E73" s="2" t="s">
        <v>124</v>
      </c>
      <c r="F73" s="2" t="s">
        <v>51</v>
      </c>
      <c r="G73" s="2" t="s">
        <v>125</v>
      </c>
      <c r="H73" s="2" t="s">
        <v>26</v>
      </c>
      <c r="I73" s="2" t="s">
        <v>57</v>
      </c>
      <c r="J73" s="2" t="s">
        <v>104</v>
      </c>
      <c r="K73" s="2" t="s">
        <v>59</v>
      </c>
      <c r="L73" s="2" t="s">
        <v>132</v>
      </c>
      <c r="M73" s="2" t="n">
        <v>342</v>
      </c>
      <c r="N73" s="3" t="n">
        <v>25</v>
      </c>
      <c r="O73" s="4" t="n">
        <v>23.38</v>
      </c>
      <c r="P73" s="5" t="n">
        <v>2</v>
      </c>
      <c r="Q73" s="2" t="n">
        <v>0</v>
      </c>
      <c r="R73" s="4" t="n">
        <f aca="false">M73*O73</f>
        <v>7995.96</v>
      </c>
      <c r="S73" s="4" t="n">
        <f aca="false">R73*(P73/100)</f>
        <v>159.9192</v>
      </c>
      <c r="T73" s="4" t="n">
        <f aca="false">R73-S73</f>
        <v>7836.0408</v>
      </c>
    </row>
    <row r="74" customFormat="false" ht="15" hidden="false" customHeight="false" outlineLevel="0" collapsed="false">
      <c r="A74" s="2" t="n">
        <v>800073</v>
      </c>
      <c r="B74" s="2" t="s">
        <v>112</v>
      </c>
      <c r="C74" s="2" t="s">
        <v>21</v>
      </c>
      <c r="D74" s="2" t="s">
        <v>171</v>
      </c>
      <c r="E74" s="2" t="s">
        <v>192</v>
      </c>
      <c r="F74" s="2" t="s">
        <v>78</v>
      </c>
      <c r="G74" s="2" t="s">
        <v>25</v>
      </c>
      <c r="H74" s="2" t="s">
        <v>26</v>
      </c>
      <c r="I74" s="2" t="s">
        <v>69</v>
      </c>
      <c r="J74" s="2" t="s">
        <v>114</v>
      </c>
      <c r="K74" s="2" t="s">
        <v>29</v>
      </c>
      <c r="L74" s="2" t="s">
        <v>47</v>
      </c>
      <c r="M74" s="2" t="n">
        <v>351</v>
      </c>
      <c r="N74" s="3" t="n">
        <v>20</v>
      </c>
      <c r="O74" s="4" t="n">
        <v>19.33</v>
      </c>
      <c r="P74" s="5" t="n">
        <v>12.5</v>
      </c>
      <c r="Q74" s="2" t="n">
        <v>0</v>
      </c>
      <c r="R74" s="4" t="n">
        <f aca="false">M74*O74</f>
        <v>6784.83</v>
      </c>
      <c r="S74" s="4" t="n">
        <f aca="false">R74*(P74/100)</f>
        <v>848.10375</v>
      </c>
      <c r="T74" s="4" t="n">
        <f aca="false">R74-S74</f>
        <v>5936.72625</v>
      </c>
    </row>
    <row r="75" customFormat="false" ht="15" hidden="false" customHeight="false" outlineLevel="0" collapsed="false">
      <c r="A75" s="2" t="n">
        <v>800074</v>
      </c>
      <c r="B75" s="2" t="s">
        <v>194</v>
      </c>
      <c r="C75" s="2" t="s">
        <v>84</v>
      </c>
      <c r="D75" s="2" t="s">
        <v>164</v>
      </c>
      <c r="E75" s="2" t="s">
        <v>165</v>
      </c>
      <c r="F75" s="2" t="s">
        <v>51</v>
      </c>
      <c r="G75" s="2" t="s">
        <v>25</v>
      </c>
      <c r="H75" s="2" t="s">
        <v>26</v>
      </c>
      <c r="I75" s="2" t="s">
        <v>57</v>
      </c>
      <c r="J75" s="2" t="s">
        <v>104</v>
      </c>
      <c r="K75" s="2" t="s">
        <v>59</v>
      </c>
      <c r="L75" s="2" t="s">
        <v>161</v>
      </c>
      <c r="M75" s="2" t="n">
        <v>117</v>
      </c>
      <c r="N75" s="3" t="n">
        <v>25</v>
      </c>
      <c r="O75" s="4" t="n">
        <v>24.48</v>
      </c>
      <c r="P75" s="5" t="n">
        <v>0</v>
      </c>
      <c r="Q75" s="2" t="n">
        <v>0</v>
      </c>
      <c r="R75" s="4" t="n">
        <f aca="false">M75*O75</f>
        <v>2864.16</v>
      </c>
      <c r="S75" s="4" t="n">
        <f aca="false">R75*(P75/100)</f>
        <v>0</v>
      </c>
      <c r="T75" s="4" t="n">
        <f aca="false">R75-S75</f>
        <v>2864.16</v>
      </c>
    </row>
    <row r="76" customFormat="false" ht="15" hidden="false" customHeight="false" outlineLevel="0" collapsed="false">
      <c r="A76" s="2" t="n">
        <v>800075</v>
      </c>
      <c r="B76" s="2" t="s">
        <v>195</v>
      </c>
      <c r="C76" s="2" t="s">
        <v>41</v>
      </c>
      <c r="D76" s="2" t="s">
        <v>42</v>
      </c>
      <c r="E76" s="2" t="s">
        <v>179</v>
      </c>
      <c r="F76" s="2" t="s">
        <v>87</v>
      </c>
      <c r="G76" s="2" t="s">
        <v>36</v>
      </c>
      <c r="H76" s="2" t="s">
        <v>26</v>
      </c>
      <c r="I76" s="2" t="s">
        <v>44</v>
      </c>
      <c r="J76" s="2" t="s">
        <v>126</v>
      </c>
      <c r="K76" s="2" t="s">
        <v>71</v>
      </c>
      <c r="L76" s="2" t="s">
        <v>107</v>
      </c>
      <c r="M76" s="2" t="n">
        <v>448</v>
      </c>
      <c r="N76" s="3" t="n">
        <v>20</v>
      </c>
      <c r="O76" s="4" t="n">
        <v>18.64</v>
      </c>
      <c r="P76" s="5" t="n">
        <v>12.5</v>
      </c>
      <c r="Q76" s="2" t="n">
        <v>0</v>
      </c>
      <c r="R76" s="4" t="n">
        <f aca="false">M76*O76</f>
        <v>8350.72</v>
      </c>
      <c r="S76" s="4" t="n">
        <f aca="false">R76*(P76/100)</f>
        <v>1043.84</v>
      </c>
      <c r="T76" s="4" t="n">
        <f aca="false">R76-S76</f>
        <v>7306.88</v>
      </c>
    </row>
    <row r="77" customFormat="false" ht="15" hidden="false" customHeight="false" outlineLevel="0" collapsed="false">
      <c r="A77" s="2" t="n">
        <v>800076</v>
      </c>
      <c r="B77" s="2" t="s">
        <v>196</v>
      </c>
      <c r="C77" s="2" t="s">
        <v>41</v>
      </c>
      <c r="D77" s="2" t="s">
        <v>42</v>
      </c>
      <c r="E77" s="2" t="s">
        <v>43</v>
      </c>
      <c r="F77" s="2" t="s">
        <v>35</v>
      </c>
      <c r="G77" s="2" t="s">
        <v>90</v>
      </c>
      <c r="H77" s="2" t="s">
        <v>26</v>
      </c>
      <c r="I77" s="2" t="s">
        <v>57</v>
      </c>
      <c r="J77" s="2" t="s">
        <v>58</v>
      </c>
      <c r="K77" s="2" t="s">
        <v>59</v>
      </c>
      <c r="L77" s="2" t="s">
        <v>82</v>
      </c>
      <c r="M77" s="2" t="n">
        <v>465</v>
      </c>
      <c r="N77" s="3" t="n">
        <v>20</v>
      </c>
      <c r="O77" s="4" t="n">
        <v>17.53</v>
      </c>
      <c r="P77" s="5" t="n">
        <v>2</v>
      </c>
      <c r="Q77" s="2" t="n">
        <v>1</v>
      </c>
      <c r="R77" s="4" t="n">
        <f aca="false">M77*O77</f>
        <v>8151.45</v>
      </c>
      <c r="S77" s="4" t="n">
        <f aca="false">R77*(P77/100)</f>
        <v>163.029</v>
      </c>
      <c r="T77" s="4" t="n">
        <f aca="false">R77-S77</f>
        <v>7988.421</v>
      </c>
    </row>
    <row r="78" customFormat="false" ht="15" hidden="false" customHeight="false" outlineLevel="0" collapsed="false">
      <c r="A78" s="2" t="n">
        <v>800077</v>
      </c>
      <c r="B78" s="2" t="s">
        <v>197</v>
      </c>
      <c r="C78" s="2" t="s">
        <v>41</v>
      </c>
      <c r="D78" s="2" t="s">
        <v>73</v>
      </c>
      <c r="E78" s="2" t="s">
        <v>74</v>
      </c>
      <c r="F78" s="2" t="s">
        <v>51</v>
      </c>
      <c r="G78" s="2" t="s">
        <v>125</v>
      </c>
      <c r="H78" s="2" t="s">
        <v>26</v>
      </c>
      <c r="I78" s="2" t="s">
        <v>57</v>
      </c>
      <c r="J78" s="2" t="s">
        <v>58</v>
      </c>
      <c r="K78" s="2" t="s">
        <v>59</v>
      </c>
      <c r="L78" s="2" t="s">
        <v>64</v>
      </c>
      <c r="M78" s="2" t="n">
        <v>273</v>
      </c>
      <c r="N78" s="3" t="n">
        <v>20</v>
      </c>
      <c r="O78" s="4" t="n">
        <v>19.7</v>
      </c>
      <c r="P78" s="5" t="n">
        <v>0</v>
      </c>
      <c r="Q78" s="2" t="n">
        <v>3</v>
      </c>
      <c r="R78" s="4" t="n">
        <f aca="false">M78*O78</f>
        <v>5378.1</v>
      </c>
      <c r="S78" s="4" t="n">
        <f aca="false">R78*(P78/100)</f>
        <v>0</v>
      </c>
      <c r="T78" s="4" t="n">
        <f aca="false">R78-S78</f>
        <v>5378.1</v>
      </c>
    </row>
    <row r="79" customFormat="false" ht="15" hidden="false" customHeight="false" outlineLevel="0" collapsed="false">
      <c r="A79" s="2" t="n">
        <v>800078</v>
      </c>
      <c r="B79" s="2" t="s">
        <v>198</v>
      </c>
      <c r="C79" s="2" t="s">
        <v>84</v>
      </c>
      <c r="D79" s="2" t="s">
        <v>128</v>
      </c>
      <c r="E79" s="2" t="s">
        <v>199</v>
      </c>
      <c r="F79" s="2" t="s">
        <v>78</v>
      </c>
      <c r="G79" s="2" t="s">
        <v>90</v>
      </c>
      <c r="H79" s="2" t="s">
        <v>26</v>
      </c>
      <c r="I79" s="2" t="s">
        <v>57</v>
      </c>
      <c r="J79" s="2" t="s">
        <v>104</v>
      </c>
      <c r="K79" s="2" t="s">
        <v>59</v>
      </c>
      <c r="L79" s="2" t="s">
        <v>64</v>
      </c>
      <c r="M79" s="2" t="n">
        <v>229</v>
      </c>
      <c r="N79" s="3" t="n">
        <v>25</v>
      </c>
      <c r="O79" s="4" t="n">
        <v>24.3</v>
      </c>
      <c r="P79" s="5" t="n">
        <v>0</v>
      </c>
      <c r="Q79" s="2" t="n">
        <v>0</v>
      </c>
      <c r="R79" s="4" t="n">
        <f aca="false">M79*O79</f>
        <v>5564.7</v>
      </c>
      <c r="S79" s="4" t="n">
        <f aca="false">R79*(P79/100)</f>
        <v>0</v>
      </c>
      <c r="T79" s="4" t="n">
        <f aca="false">R79-S79</f>
        <v>5564.7</v>
      </c>
    </row>
    <row r="80" customFormat="false" ht="15" hidden="false" customHeight="false" outlineLevel="0" collapsed="false">
      <c r="A80" s="2" t="n">
        <v>800079</v>
      </c>
      <c r="B80" s="2" t="s">
        <v>200</v>
      </c>
      <c r="C80" s="2" t="s">
        <v>84</v>
      </c>
      <c r="D80" s="2" t="s">
        <v>119</v>
      </c>
      <c r="E80" s="2" t="s">
        <v>201</v>
      </c>
      <c r="F80" s="2" t="s">
        <v>78</v>
      </c>
      <c r="G80" s="2" t="s">
        <v>137</v>
      </c>
      <c r="H80" s="2" t="s">
        <v>26</v>
      </c>
      <c r="I80" s="2" t="s">
        <v>37</v>
      </c>
      <c r="J80" s="2" t="s">
        <v>38</v>
      </c>
      <c r="K80" s="2" t="s">
        <v>39</v>
      </c>
      <c r="L80" s="2" t="s">
        <v>82</v>
      </c>
      <c r="M80" s="2" t="n">
        <v>340</v>
      </c>
      <c r="N80" s="3" t="n">
        <v>30</v>
      </c>
      <c r="O80" s="4" t="n">
        <v>28.52</v>
      </c>
      <c r="P80" s="5" t="n">
        <v>12.5</v>
      </c>
      <c r="Q80" s="2" t="n">
        <v>3</v>
      </c>
      <c r="R80" s="4" t="n">
        <f aca="false">M80*O80</f>
        <v>9696.8</v>
      </c>
      <c r="S80" s="4" t="n">
        <f aca="false">R80*(P80/100)</f>
        <v>1212.1</v>
      </c>
      <c r="T80" s="4" t="n">
        <f aca="false">R80-S80</f>
        <v>8484.7</v>
      </c>
    </row>
    <row r="81" customFormat="false" ht="15" hidden="false" customHeight="false" outlineLevel="0" collapsed="false">
      <c r="A81" s="2" t="n">
        <v>800080</v>
      </c>
      <c r="B81" s="2" t="s">
        <v>168</v>
      </c>
      <c r="C81" s="2" t="s">
        <v>21</v>
      </c>
      <c r="D81" s="2" t="s">
        <v>116</v>
      </c>
      <c r="E81" s="2" t="s">
        <v>170</v>
      </c>
      <c r="F81" s="2" t="s">
        <v>24</v>
      </c>
      <c r="G81" s="2" t="s">
        <v>125</v>
      </c>
      <c r="H81" s="2" t="s">
        <v>26</v>
      </c>
      <c r="I81" s="2" t="s">
        <v>69</v>
      </c>
      <c r="J81" s="2" t="s">
        <v>202</v>
      </c>
      <c r="K81" s="2" t="s">
        <v>39</v>
      </c>
      <c r="L81" s="2" t="s">
        <v>47</v>
      </c>
      <c r="M81" s="2" t="n">
        <v>409</v>
      </c>
      <c r="N81" s="3" t="n">
        <v>20</v>
      </c>
      <c r="O81" s="4" t="n">
        <v>18.77</v>
      </c>
      <c r="P81" s="5" t="n">
        <v>0</v>
      </c>
      <c r="Q81" s="2" t="n">
        <v>2</v>
      </c>
      <c r="R81" s="4" t="n">
        <f aca="false">M81*O81</f>
        <v>7676.93</v>
      </c>
      <c r="S81" s="4" t="n">
        <f aca="false">R81*(P81/100)</f>
        <v>0</v>
      </c>
      <c r="T81" s="4" t="n">
        <f aca="false">R81-S81</f>
        <v>7676.93</v>
      </c>
    </row>
    <row r="82" customFormat="false" ht="15" hidden="false" customHeight="false" outlineLevel="0" collapsed="false">
      <c r="A82" s="2" t="n">
        <v>800081</v>
      </c>
      <c r="B82" s="2" t="s">
        <v>203</v>
      </c>
      <c r="C82" s="2" t="s">
        <v>84</v>
      </c>
      <c r="D82" s="2" t="s">
        <v>128</v>
      </c>
      <c r="E82" s="2" t="s">
        <v>129</v>
      </c>
      <c r="F82" s="2" t="s">
        <v>87</v>
      </c>
      <c r="G82" s="2" t="s">
        <v>36</v>
      </c>
      <c r="H82" s="2" t="s">
        <v>26</v>
      </c>
      <c r="I82" s="2" t="s">
        <v>44</v>
      </c>
      <c r="J82" s="2" t="s">
        <v>45</v>
      </c>
      <c r="K82" s="2" t="s">
        <v>111</v>
      </c>
      <c r="L82" s="2" t="s">
        <v>82</v>
      </c>
      <c r="M82" s="2" t="n">
        <v>240</v>
      </c>
      <c r="N82" s="3" t="n">
        <v>10</v>
      </c>
      <c r="O82" s="4" t="n">
        <v>8.7</v>
      </c>
      <c r="P82" s="5" t="n">
        <v>10</v>
      </c>
      <c r="Q82" s="2" t="n">
        <v>0</v>
      </c>
      <c r="R82" s="4" t="n">
        <f aca="false">M82*O82</f>
        <v>2088</v>
      </c>
      <c r="S82" s="4" t="n">
        <f aca="false">R82*(P82/100)</f>
        <v>208.8</v>
      </c>
      <c r="T82" s="4" t="n">
        <f aca="false">R82-S82</f>
        <v>1879.2</v>
      </c>
    </row>
    <row r="83" customFormat="false" ht="15" hidden="false" customHeight="false" outlineLevel="0" collapsed="false">
      <c r="A83" s="2" t="n">
        <v>800082</v>
      </c>
      <c r="B83" s="2" t="s">
        <v>204</v>
      </c>
      <c r="C83" s="2" t="s">
        <v>32</v>
      </c>
      <c r="D83" s="2" t="s">
        <v>66</v>
      </c>
      <c r="E83" s="2" t="s">
        <v>67</v>
      </c>
      <c r="F83" s="2" t="s">
        <v>35</v>
      </c>
      <c r="G83" s="2" t="s">
        <v>62</v>
      </c>
      <c r="H83" s="2" t="s">
        <v>26</v>
      </c>
      <c r="I83" s="2" t="s">
        <v>27</v>
      </c>
      <c r="J83" s="2" t="s">
        <v>98</v>
      </c>
      <c r="K83" s="2" t="s">
        <v>46</v>
      </c>
      <c r="L83" s="2" t="s">
        <v>53</v>
      </c>
      <c r="M83" s="2" t="n">
        <v>93</v>
      </c>
      <c r="N83" s="3" t="n">
        <v>99</v>
      </c>
      <c r="O83" s="4" t="n">
        <v>87.37</v>
      </c>
      <c r="P83" s="5" t="n">
        <v>5</v>
      </c>
      <c r="Q83" s="2" t="n">
        <v>2</v>
      </c>
      <c r="R83" s="4" t="n">
        <f aca="false">M83*O83</f>
        <v>8125.41</v>
      </c>
      <c r="S83" s="4" t="n">
        <f aca="false">R83*(P83/100)</f>
        <v>406.2705</v>
      </c>
      <c r="T83" s="4" t="n">
        <f aca="false">R83-S83</f>
        <v>7719.1395</v>
      </c>
    </row>
    <row r="84" customFormat="false" ht="15" hidden="false" customHeight="false" outlineLevel="0" collapsed="false">
      <c r="A84" s="2" t="n">
        <v>800083</v>
      </c>
      <c r="B84" s="2" t="s">
        <v>153</v>
      </c>
      <c r="C84" s="2" t="s">
        <v>21</v>
      </c>
      <c r="D84" s="2" t="s">
        <v>101</v>
      </c>
      <c r="E84" s="2" t="s">
        <v>102</v>
      </c>
      <c r="F84" s="2" t="s">
        <v>35</v>
      </c>
      <c r="G84" s="2" t="s">
        <v>106</v>
      </c>
      <c r="H84" s="2" t="s">
        <v>26</v>
      </c>
      <c r="I84" s="2" t="s">
        <v>69</v>
      </c>
      <c r="J84" s="2" t="s">
        <v>114</v>
      </c>
      <c r="K84" s="2" t="s">
        <v>29</v>
      </c>
      <c r="L84" s="2" t="s">
        <v>82</v>
      </c>
      <c r="M84" s="2" t="n">
        <v>320</v>
      </c>
      <c r="N84" s="3" t="n">
        <v>20</v>
      </c>
      <c r="O84" s="4" t="n">
        <v>17.84</v>
      </c>
      <c r="P84" s="5" t="n">
        <v>10</v>
      </c>
      <c r="Q84" s="2" t="n">
        <v>0</v>
      </c>
      <c r="R84" s="4" t="n">
        <f aca="false">M84*O84</f>
        <v>5708.8</v>
      </c>
      <c r="S84" s="4" t="n">
        <f aca="false">R84*(P84/100)</f>
        <v>570.88</v>
      </c>
      <c r="T84" s="4" t="n">
        <f aca="false">R84-S84</f>
        <v>5137.92</v>
      </c>
    </row>
    <row r="85" customFormat="false" ht="15" hidden="false" customHeight="false" outlineLevel="0" collapsed="false">
      <c r="A85" s="2" t="n">
        <v>800084</v>
      </c>
      <c r="B85" s="2" t="s">
        <v>205</v>
      </c>
      <c r="C85" s="2" t="s">
        <v>84</v>
      </c>
      <c r="D85" s="2" t="s">
        <v>85</v>
      </c>
      <c r="E85" s="2" t="s">
        <v>124</v>
      </c>
      <c r="F85" s="2" t="s">
        <v>51</v>
      </c>
      <c r="G85" s="2" t="s">
        <v>52</v>
      </c>
      <c r="H85" s="2" t="s">
        <v>26</v>
      </c>
      <c r="I85" s="2" t="s">
        <v>27</v>
      </c>
      <c r="J85" s="2" t="s">
        <v>98</v>
      </c>
      <c r="K85" s="2" t="s">
        <v>46</v>
      </c>
      <c r="L85" s="2" t="s">
        <v>53</v>
      </c>
      <c r="M85" s="2" t="n">
        <v>203</v>
      </c>
      <c r="N85" s="3" t="n">
        <v>99</v>
      </c>
      <c r="O85" s="4" t="n">
        <v>92.12</v>
      </c>
      <c r="P85" s="5" t="n">
        <v>5</v>
      </c>
      <c r="Q85" s="2" t="n">
        <v>0</v>
      </c>
      <c r="R85" s="4" t="n">
        <f aca="false">M85*O85</f>
        <v>18700.36</v>
      </c>
      <c r="S85" s="4" t="n">
        <f aca="false">R85*(P85/100)</f>
        <v>935.018</v>
      </c>
      <c r="T85" s="4" t="n">
        <f aca="false">R85-S85</f>
        <v>17765.342</v>
      </c>
    </row>
    <row r="86" customFormat="false" ht="15" hidden="false" customHeight="false" outlineLevel="0" collapsed="false">
      <c r="A86" s="2" t="n">
        <v>800085</v>
      </c>
      <c r="B86" s="2" t="s">
        <v>173</v>
      </c>
      <c r="C86" s="2" t="s">
        <v>41</v>
      </c>
      <c r="D86" s="2" t="s">
        <v>42</v>
      </c>
      <c r="E86" s="2" t="s">
        <v>131</v>
      </c>
      <c r="F86" s="2" t="s">
        <v>35</v>
      </c>
      <c r="G86" s="2" t="s">
        <v>62</v>
      </c>
      <c r="H86" s="2" t="s">
        <v>26</v>
      </c>
      <c r="I86" s="2" t="s">
        <v>69</v>
      </c>
      <c r="J86" s="2" t="s">
        <v>114</v>
      </c>
      <c r="K86" s="2" t="s">
        <v>29</v>
      </c>
      <c r="L86" s="2" t="s">
        <v>107</v>
      </c>
      <c r="M86" s="2" t="n">
        <v>417</v>
      </c>
      <c r="N86" s="3" t="n">
        <v>20</v>
      </c>
      <c r="O86" s="4" t="n">
        <v>19.24</v>
      </c>
      <c r="P86" s="5" t="n">
        <v>7.5</v>
      </c>
      <c r="Q86" s="2" t="n">
        <v>0</v>
      </c>
      <c r="R86" s="4" t="n">
        <f aca="false">M86*O86</f>
        <v>8023.08</v>
      </c>
      <c r="S86" s="4" t="n">
        <f aca="false">R86*(P86/100)</f>
        <v>601.731</v>
      </c>
      <c r="T86" s="4" t="n">
        <f aca="false">R86-S86</f>
        <v>7421.349</v>
      </c>
    </row>
    <row r="87" customFormat="false" ht="15" hidden="false" customHeight="false" outlineLevel="0" collapsed="false">
      <c r="A87" s="2" t="n">
        <v>800086</v>
      </c>
      <c r="B87" s="2" t="s">
        <v>206</v>
      </c>
      <c r="C87" s="2" t="s">
        <v>32</v>
      </c>
      <c r="D87" s="2" t="s">
        <v>76</v>
      </c>
      <c r="E87" s="2" t="s">
        <v>77</v>
      </c>
      <c r="F87" s="2" t="s">
        <v>24</v>
      </c>
      <c r="G87" s="2" t="s">
        <v>62</v>
      </c>
      <c r="H87" s="2" t="s">
        <v>26</v>
      </c>
      <c r="I87" s="2" t="s">
        <v>69</v>
      </c>
      <c r="J87" s="2" t="s">
        <v>134</v>
      </c>
      <c r="K87" s="2" t="s">
        <v>39</v>
      </c>
      <c r="L87" s="2" t="s">
        <v>107</v>
      </c>
      <c r="M87" s="2" t="n">
        <v>423</v>
      </c>
      <c r="N87" s="3" t="n">
        <v>20</v>
      </c>
      <c r="O87" s="4" t="n">
        <v>18.23</v>
      </c>
      <c r="P87" s="5" t="n">
        <v>7.5</v>
      </c>
      <c r="Q87" s="2" t="n">
        <v>0</v>
      </c>
      <c r="R87" s="4" t="n">
        <f aca="false">M87*O87</f>
        <v>7711.29</v>
      </c>
      <c r="S87" s="4" t="n">
        <f aca="false">R87*(P87/100)</f>
        <v>578.34675</v>
      </c>
      <c r="T87" s="4" t="n">
        <f aca="false">R87-S87</f>
        <v>7132.94325</v>
      </c>
    </row>
    <row r="88" customFormat="false" ht="15" hidden="false" customHeight="false" outlineLevel="0" collapsed="false">
      <c r="A88" s="2" t="n">
        <v>800087</v>
      </c>
      <c r="B88" s="2" t="s">
        <v>207</v>
      </c>
      <c r="C88" s="2" t="s">
        <v>84</v>
      </c>
      <c r="D88" s="2" t="s">
        <v>119</v>
      </c>
      <c r="E88" s="2" t="s">
        <v>201</v>
      </c>
      <c r="F88" s="2" t="s">
        <v>24</v>
      </c>
      <c r="G88" s="2" t="s">
        <v>25</v>
      </c>
      <c r="H88" s="2" t="s">
        <v>26</v>
      </c>
      <c r="I88" s="2" t="s">
        <v>27</v>
      </c>
      <c r="J88" s="2" t="s">
        <v>91</v>
      </c>
      <c r="K88" s="2" t="s">
        <v>29</v>
      </c>
      <c r="L88" s="2" t="s">
        <v>30</v>
      </c>
      <c r="M88" s="2" t="n">
        <v>276</v>
      </c>
      <c r="N88" s="3" t="n">
        <v>35</v>
      </c>
      <c r="O88" s="4" t="n">
        <v>34.23</v>
      </c>
      <c r="P88" s="5" t="n">
        <v>0</v>
      </c>
      <c r="Q88" s="2" t="n">
        <v>0</v>
      </c>
      <c r="R88" s="4" t="n">
        <f aca="false">M88*O88</f>
        <v>9447.48</v>
      </c>
      <c r="S88" s="4" t="n">
        <f aca="false">R88*(P88/100)</f>
        <v>0</v>
      </c>
      <c r="T88" s="4" t="n">
        <f aca="false">R88-S88</f>
        <v>9447.48</v>
      </c>
    </row>
    <row r="89" customFormat="false" ht="15" hidden="false" customHeight="false" outlineLevel="0" collapsed="false">
      <c r="A89" s="2" t="n">
        <v>800088</v>
      </c>
      <c r="B89" s="2" t="s">
        <v>65</v>
      </c>
      <c r="C89" s="2" t="s">
        <v>84</v>
      </c>
      <c r="D89" s="2" t="s">
        <v>119</v>
      </c>
      <c r="E89" s="2" t="s">
        <v>120</v>
      </c>
      <c r="F89" s="2" t="s">
        <v>51</v>
      </c>
      <c r="G89" s="2" t="s">
        <v>52</v>
      </c>
      <c r="H89" s="2" t="s">
        <v>26</v>
      </c>
      <c r="I89" s="2" t="s">
        <v>27</v>
      </c>
      <c r="J89" s="2" t="s">
        <v>28</v>
      </c>
      <c r="K89" s="2" t="s">
        <v>63</v>
      </c>
      <c r="L89" s="2" t="s">
        <v>161</v>
      </c>
      <c r="M89" s="2" t="n">
        <v>453</v>
      </c>
      <c r="N89" s="3" t="n">
        <v>50</v>
      </c>
      <c r="O89" s="4" t="n">
        <v>48.13</v>
      </c>
      <c r="P89" s="5" t="n">
        <v>7.5</v>
      </c>
      <c r="Q89" s="2" t="n">
        <v>0</v>
      </c>
      <c r="R89" s="4" t="n">
        <f aca="false">M89*O89</f>
        <v>21802.89</v>
      </c>
      <c r="S89" s="4" t="n">
        <f aca="false">R89*(P89/100)</f>
        <v>1635.21675</v>
      </c>
      <c r="T89" s="4" t="n">
        <f aca="false">R89-S89</f>
        <v>20167.67325</v>
      </c>
    </row>
    <row r="90" customFormat="false" ht="15" hidden="false" customHeight="false" outlineLevel="0" collapsed="false">
      <c r="A90" s="2" t="n">
        <v>800089</v>
      </c>
      <c r="B90" s="2" t="s">
        <v>208</v>
      </c>
      <c r="C90" s="2" t="s">
        <v>21</v>
      </c>
      <c r="D90" s="2" t="s">
        <v>147</v>
      </c>
      <c r="E90" s="2" t="s">
        <v>148</v>
      </c>
      <c r="F90" s="2" t="s">
        <v>78</v>
      </c>
      <c r="G90" s="2" t="s">
        <v>94</v>
      </c>
      <c r="H90" s="2" t="s">
        <v>26</v>
      </c>
      <c r="I90" s="2" t="s">
        <v>44</v>
      </c>
      <c r="J90" s="2" t="s">
        <v>126</v>
      </c>
      <c r="K90" s="2" t="s">
        <v>71</v>
      </c>
      <c r="L90" s="2" t="s">
        <v>107</v>
      </c>
      <c r="M90" s="2" t="n">
        <v>319</v>
      </c>
      <c r="N90" s="3" t="n">
        <v>20</v>
      </c>
      <c r="O90" s="4" t="n">
        <v>18.07</v>
      </c>
      <c r="P90" s="5" t="n">
        <v>7.5</v>
      </c>
      <c r="Q90" s="2" t="n">
        <v>0</v>
      </c>
      <c r="R90" s="4" t="n">
        <f aca="false">M90*O90</f>
        <v>5764.33</v>
      </c>
      <c r="S90" s="4" t="n">
        <f aca="false">R90*(P90/100)</f>
        <v>432.32475</v>
      </c>
      <c r="T90" s="4" t="n">
        <f aca="false">R90-S90</f>
        <v>5332.00525</v>
      </c>
    </row>
    <row r="91" customFormat="false" ht="15" hidden="false" customHeight="false" outlineLevel="0" collapsed="false">
      <c r="A91" s="2" t="n">
        <v>800090</v>
      </c>
      <c r="B91" s="2" t="s">
        <v>209</v>
      </c>
      <c r="C91" s="2" t="s">
        <v>32</v>
      </c>
      <c r="D91" s="2" t="s">
        <v>151</v>
      </c>
      <c r="E91" s="2" t="s">
        <v>158</v>
      </c>
      <c r="F91" s="2" t="s">
        <v>35</v>
      </c>
      <c r="G91" s="2" t="s">
        <v>90</v>
      </c>
      <c r="H91" s="2" t="s">
        <v>26</v>
      </c>
      <c r="I91" s="2" t="s">
        <v>44</v>
      </c>
      <c r="J91" s="2" t="s">
        <v>126</v>
      </c>
      <c r="K91" s="2" t="s">
        <v>71</v>
      </c>
      <c r="L91" s="2" t="s">
        <v>99</v>
      </c>
      <c r="M91" s="2" t="n">
        <v>351</v>
      </c>
      <c r="N91" s="3" t="n">
        <v>20</v>
      </c>
      <c r="O91" s="4" t="n">
        <v>17.18</v>
      </c>
      <c r="P91" s="5" t="n">
        <v>12.5</v>
      </c>
      <c r="Q91" s="2" t="n">
        <v>0</v>
      </c>
      <c r="R91" s="4" t="n">
        <f aca="false">M91*O91</f>
        <v>6030.18</v>
      </c>
      <c r="S91" s="4" t="n">
        <f aca="false">R91*(P91/100)</f>
        <v>753.7725</v>
      </c>
      <c r="T91" s="4" t="n">
        <f aca="false">R91-S91</f>
        <v>5276.4075</v>
      </c>
    </row>
    <row r="92" customFormat="false" ht="15" hidden="false" customHeight="false" outlineLevel="0" collapsed="false">
      <c r="A92" s="2" t="n">
        <v>800091</v>
      </c>
      <c r="B92" s="2" t="s">
        <v>210</v>
      </c>
      <c r="C92" s="2" t="s">
        <v>41</v>
      </c>
      <c r="D92" s="2" t="s">
        <v>73</v>
      </c>
      <c r="E92" s="2" t="s">
        <v>136</v>
      </c>
      <c r="F92" s="2" t="s">
        <v>78</v>
      </c>
      <c r="G92" s="2" t="s">
        <v>36</v>
      </c>
      <c r="H92" s="2" t="s">
        <v>26</v>
      </c>
      <c r="I92" s="2" t="s">
        <v>44</v>
      </c>
      <c r="J92" s="2" t="s">
        <v>45</v>
      </c>
      <c r="K92" s="2" t="s">
        <v>111</v>
      </c>
      <c r="L92" s="2" t="s">
        <v>47</v>
      </c>
      <c r="M92" s="2" t="n">
        <v>69</v>
      </c>
      <c r="N92" s="3" t="n">
        <v>10</v>
      </c>
      <c r="O92" s="4" t="n">
        <v>8.83</v>
      </c>
      <c r="P92" s="5" t="n">
        <v>0</v>
      </c>
      <c r="Q92" s="2" t="n">
        <v>1</v>
      </c>
      <c r="R92" s="4" t="n">
        <f aca="false">M92*O92</f>
        <v>609.27</v>
      </c>
      <c r="S92" s="4" t="n">
        <f aca="false">R92*(P92/100)</f>
        <v>0</v>
      </c>
      <c r="T92" s="4" t="n">
        <f aca="false">R92-S92</f>
        <v>609.27</v>
      </c>
    </row>
    <row r="93" customFormat="false" ht="15" hidden="false" customHeight="false" outlineLevel="0" collapsed="false">
      <c r="A93" s="2" t="n">
        <v>800092</v>
      </c>
      <c r="B93" s="2" t="s">
        <v>89</v>
      </c>
      <c r="C93" s="2" t="s">
        <v>84</v>
      </c>
      <c r="D93" s="2" t="s">
        <v>164</v>
      </c>
      <c r="E93" s="2" t="s">
        <v>211</v>
      </c>
      <c r="F93" s="2" t="s">
        <v>51</v>
      </c>
      <c r="G93" s="2" t="s">
        <v>62</v>
      </c>
      <c r="H93" s="2" t="s">
        <v>26</v>
      </c>
      <c r="I93" s="2" t="s">
        <v>69</v>
      </c>
      <c r="J93" s="2" t="s">
        <v>114</v>
      </c>
      <c r="K93" s="2" t="s">
        <v>29</v>
      </c>
      <c r="L93" s="2" t="s">
        <v>53</v>
      </c>
      <c r="M93" s="2" t="n">
        <v>228</v>
      </c>
      <c r="N93" s="3" t="n">
        <v>20</v>
      </c>
      <c r="O93" s="4" t="n">
        <v>19.63</v>
      </c>
      <c r="P93" s="5" t="n">
        <v>5</v>
      </c>
      <c r="Q93" s="2" t="n">
        <v>0</v>
      </c>
      <c r="R93" s="4" t="n">
        <f aca="false">M93*O93</f>
        <v>4475.64</v>
      </c>
      <c r="S93" s="4" t="n">
        <f aca="false">R93*(P93/100)</f>
        <v>223.782</v>
      </c>
      <c r="T93" s="4" t="n">
        <f aca="false">R93-S93</f>
        <v>4251.858</v>
      </c>
    </row>
    <row r="94" customFormat="false" ht="15" hidden="false" customHeight="false" outlineLevel="0" collapsed="false">
      <c r="A94" s="2" t="n">
        <v>800093</v>
      </c>
      <c r="B94" s="2" t="s">
        <v>212</v>
      </c>
      <c r="C94" s="2" t="s">
        <v>84</v>
      </c>
      <c r="D94" s="2" t="s">
        <v>85</v>
      </c>
      <c r="E94" s="2" t="s">
        <v>124</v>
      </c>
      <c r="F94" s="2" t="s">
        <v>51</v>
      </c>
      <c r="G94" s="2" t="s">
        <v>25</v>
      </c>
      <c r="H94" s="2" t="s">
        <v>26</v>
      </c>
      <c r="I94" s="2" t="s">
        <v>44</v>
      </c>
      <c r="J94" s="2" t="s">
        <v>45</v>
      </c>
      <c r="K94" s="2" t="s">
        <v>46</v>
      </c>
      <c r="L94" s="2" t="s">
        <v>82</v>
      </c>
      <c r="M94" s="2" t="n">
        <v>298</v>
      </c>
      <c r="N94" s="3" t="n">
        <v>20</v>
      </c>
      <c r="O94" s="4" t="n">
        <v>19.52</v>
      </c>
      <c r="P94" s="5" t="n">
        <v>7.5</v>
      </c>
      <c r="Q94" s="2" t="n">
        <v>0</v>
      </c>
      <c r="R94" s="4" t="n">
        <f aca="false">M94*O94</f>
        <v>5816.96</v>
      </c>
      <c r="S94" s="4" t="n">
        <f aca="false">R94*(P94/100)</f>
        <v>436.272</v>
      </c>
      <c r="T94" s="4" t="n">
        <f aca="false">R94-S94</f>
        <v>5380.688</v>
      </c>
    </row>
    <row r="95" customFormat="false" ht="15" hidden="false" customHeight="false" outlineLevel="0" collapsed="false">
      <c r="A95" s="2" t="n">
        <v>800094</v>
      </c>
      <c r="B95" s="2" t="s">
        <v>213</v>
      </c>
      <c r="C95" s="2" t="s">
        <v>84</v>
      </c>
      <c r="D95" s="2" t="s">
        <v>85</v>
      </c>
      <c r="E95" s="2" t="s">
        <v>86</v>
      </c>
      <c r="F95" s="2" t="s">
        <v>51</v>
      </c>
      <c r="G95" s="2" t="s">
        <v>52</v>
      </c>
      <c r="H95" s="2" t="s">
        <v>26</v>
      </c>
      <c r="I95" s="2" t="s">
        <v>27</v>
      </c>
      <c r="J95" s="2" t="s">
        <v>28</v>
      </c>
      <c r="K95" s="2" t="s">
        <v>29</v>
      </c>
      <c r="L95" s="2" t="s">
        <v>132</v>
      </c>
      <c r="M95" s="2" t="n">
        <v>422</v>
      </c>
      <c r="N95" s="3" t="n">
        <v>30</v>
      </c>
      <c r="O95" s="4" t="n">
        <v>26.9</v>
      </c>
      <c r="P95" s="5" t="n">
        <v>0</v>
      </c>
      <c r="Q95" s="2" t="n">
        <v>0</v>
      </c>
      <c r="R95" s="4" t="n">
        <f aca="false">M95*O95</f>
        <v>11351.8</v>
      </c>
      <c r="S95" s="4" t="n">
        <f aca="false">R95*(P95/100)</f>
        <v>0</v>
      </c>
      <c r="T95" s="4" t="n">
        <f aca="false">R95-S95</f>
        <v>11351.8</v>
      </c>
    </row>
    <row r="96" customFormat="false" ht="15" hidden="false" customHeight="false" outlineLevel="0" collapsed="false">
      <c r="A96" s="2" t="n">
        <v>800095</v>
      </c>
      <c r="B96" s="2" t="s">
        <v>214</v>
      </c>
      <c r="C96" s="2" t="s">
        <v>32</v>
      </c>
      <c r="D96" s="2" t="s">
        <v>76</v>
      </c>
      <c r="E96" s="2" t="s">
        <v>96</v>
      </c>
      <c r="F96" s="2" t="s">
        <v>24</v>
      </c>
      <c r="G96" s="2" t="s">
        <v>137</v>
      </c>
      <c r="H96" s="2" t="s">
        <v>26</v>
      </c>
      <c r="I96" s="2" t="s">
        <v>27</v>
      </c>
      <c r="J96" s="2" t="s">
        <v>28</v>
      </c>
      <c r="K96" s="2" t="s">
        <v>29</v>
      </c>
      <c r="L96" s="2" t="s">
        <v>107</v>
      </c>
      <c r="M96" s="2" t="n">
        <v>459</v>
      </c>
      <c r="N96" s="3" t="n">
        <v>30</v>
      </c>
      <c r="O96" s="4" t="n">
        <v>29.63</v>
      </c>
      <c r="P96" s="5" t="n">
        <v>0</v>
      </c>
      <c r="Q96" s="2" t="n">
        <v>3</v>
      </c>
      <c r="R96" s="4" t="n">
        <f aca="false">M96*O96</f>
        <v>13600.17</v>
      </c>
      <c r="S96" s="4" t="n">
        <f aca="false">R96*(P96/100)</f>
        <v>0</v>
      </c>
      <c r="T96" s="4" t="n">
        <f aca="false">R96-S96</f>
        <v>13600.17</v>
      </c>
    </row>
    <row r="97" customFormat="false" ht="15" hidden="false" customHeight="false" outlineLevel="0" collapsed="false">
      <c r="A97" s="2" t="n">
        <v>800096</v>
      </c>
      <c r="B97" s="2" t="s">
        <v>215</v>
      </c>
      <c r="C97" s="2" t="s">
        <v>32</v>
      </c>
      <c r="D97" s="2" t="s">
        <v>66</v>
      </c>
      <c r="E97" s="2" t="s">
        <v>113</v>
      </c>
      <c r="F97" s="2" t="s">
        <v>24</v>
      </c>
      <c r="G97" s="2" t="s">
        <v>36</v>
      </c>
      <c r="H97" s="2" t="s">
        <v>26</v>
      </c>
      <c r="I97" s="2" t="s">
        <v>44</v>
      </c>
      <c r="J97" s="2" t="s">
        <v>45</v>
      </c>
      <c r="K97" s="2" t="s">
        <v>46</v>
      </c>
      <c r="L97" s="2" t="s">
        <v>53</v>
      </c>
      <c r="M97" s="2" t="n">
        <v>185</v>
      </c>
      <c r="N97" s="3" t="n">
        <v>20</v>
      </c>
      <c r="O97" s="4" t="n">
        <v>17.04</v>
      </c>
      <c r="P97" s="5" t="n">
        <v>5</v>
      </c>
      <c r="Q97" s="2" t="n">
        <v>0</v>
      </c>
      <c r="R97" s="4" t="n">
        <f aca="false">M97*O97</f>
        <v>3152.4</v>
      </c>
      <c r="S97" s="4" t="n">
        <f aca="false">R97*(P97/100)</f>
        <v>157.62</v>
      </c>
      <c r="T97" s="4" t="n">
        <f aca="false">R97-S97</f>
        <v>2994.78</v>
      </c>
    </row>
    <row r="98" customFormat="false" ht="15" hidden="false" customHeight="false" outlineLevel="0" collapsed="false">
      <c r="A98" s="2" t="n">
        <v>800097</v>
      </c>
      <c r="B98" s="2" t="s">
        <v>205</v>
      </c>
      <c r="C98" s="2" t="s">
        <v>41</v>
      </c>
      <c r="D98" s="2" t="s">
        <v>49</v>
      </c>
      <c r="E98" s="2" t="s">
        <v>50</v>
      </c>
      <c r="F98" s="2" t="s">
        <v>78</v>
      </c>
      <c r="G98" s="2" t="s">
        <v>94</v>
      </c>
      <c r="H98" s="2" t="s">
        <v>26</v>
      </c>
      <c r="I98" s="2" t="s">
        <v>57</v>
      </c>
      <c r="J98" s="2" t="s">
        <v>58</v>
      </c>
      <c r="K98" s="2" t="s">
        <v>59</v>
      </c>
      <c r="L98" s="2" t="s">
        <v>30</v>
      </c>
      <c r="M98" s="2" t="n">
        <v>323</v>
      </c>
      <c r="N98" s="3" t="n">
        <v>20</v>
      </c>
      <c r="O98" s="4" t="n">
        <v>17.31</v>
      </c>
      <c r="P98" s="5" t="n">
        <v>2</v>
      </c>
      <c r="Q98" s="2" t="n">
        <v>0</v>
      </c>
      <c r="R98" s="4" t="n">
        <f aca="false">M98*O98</f>
        <v>5591.13</v>
      </c>
      <c r="S98" s="4" t="n">
        <f aca="false">R98*(P98/100)</f>
        <v>111.8226</v>
      </c>
      <c r="T98" s="4" t="n">
        <f aca="false">R98-S98</f>
        <v>5479.3074</v>
      </c>
    </row>
    <row r="99" customFormat="false" ht="15" hidden="false" customHeight="false" outlineLevel="0" collapsed="false">
      <c r="A99" s="2" t="n">
        <v>800098</v>
      </c>
      <c r="B99" s="2" t="s">
        <v>163</v>
      </c>
      <c r="C99" s="2" t="s">
        <v>84</v>
      </c>
      <c r="D99" s="2" t="s">
        <v>164</v>
      </c>
      <c r="E99" s="2" t="s">
        <v>211</v>
      </c>
      <c r="F99" s="2" t="s">
        <v>78</v>
      </c>
      <c r="G99" s="2" t="s">
        <v>94</v>
      </c>
      <c r="H99" s="2" t="s">
        <v>26</v>
      </c>
      <c r="I99" s="2" t="s">
        <v>57</v>
      </c>
      <c r="J99" s="2" t="s">
        <v>58</v>
      </c>
      <c r="K99" s="2" t="s">
        <v>59</v>
      </c>
      <c r="L99" s="2" t="s">
        <v>47</v>
      </c>
      <c r="M99" s="2" t="n">
        <v>271</v>
      </c>
      <c r="N99" s="3" t="n">
        <v>20</v>
      </c>
      <c r="O99" s="4" t="n">
        <v>18.99</v>
      </c>
      <c r="P99" s="5" t="n">
        <v>12.5</v>
      </c>
      <c r="Q99" s="2" t="n">
        <v>0</v>
      </c>
      <c r="R99" s="4" t="n">
        <f aca="false">M99*O99</f>
        <v>5146.29</v>
      </c>
      <c r="S99" s="4" t="n">
        <f aca="false">R99*(P99/100)</f>
        <v>643.28625</v>
      </c>
      <c r="T99" s="4" t="n">
        <f aca="false">R99-S99</f>
        <v>4503.00375</v>
      </c>
    </row>
    <row r="100" customFormat="false" ht="15" hidden="false" customHeight="false" outlineLevel="0" collapsed="false">
      <c r="A100" s="2" t="n">
        <v>800099</v>
      </c>
      <c r="B100" s="2" t="s">
        <v>188</v>
      </c>
      <c r="C100" s="2" t="s">
        <v>84</v>
      </c>
      <c r="D100" s="2" t="s">
        <v>85</v>
      </c>
      <c r="E100" s="2" t="s">
        <v>86</v>
      </c>
      <c r="F100" s="2" t="s">
        <v>24</v>
      </c>
      <c r="G100" s="2" t="s">
        <v>68</v>
      </c>
      <c r="H100" s="2" t="s">
        <v>26</v>
      </c>
      <c r="I100" s="2" t="s">
        <v>37</v>
      </c>
      <c r="J100" s="2" t="s">
        <v>38</v>
      </c>
      <c r="K100" s="2" t="s">
        <v>39</v>
      </c>
      <c r="L100" s="2" t="s">
        <v>161</v>
      </c>
      <c r="M100" s="2" t="n">
        <v>325</v>
      </c>
      <c r="N100" s="3" t="n">
        <v>30</v>
      </c>
      <c r="O100" s="4" t="n">
        <v>27.73</v>
      </c>
      <c r="P100" s="5" t="n">
        <v>12.5</v>
      </c>
      <c r="Q100" s="2" t="n">
        <v>3</v>
      </c>
      <c r="R100" s="4" t="n">
        <f aca="false">M100*O100</f>
        <v>9012.25</v>
      </c>
      <c r="S100" s="4" t="n">
        <f aca="false">R100*(P100/100)</f>
        <v>1126.53125</v>
      </c>
      <c r="T100" s="4" t="n">
        <f aca="false">R100-S100</f>
        <v>7885.71875</v>
      </c>
    </row>
    <row r="101" customFormat="false" ht="15" hidden="false" customHeight="false" outlineLevel="0" collapsed="false">
      <c r="A101" s="2" t="n">
        <v>800100</v>
      </c>
      <c r="B101" s="2" t="s">
        <v>210</v>
      </c>
      <c r="C101" s="2" t="s">
        <v>41</v>
      </c>
      <c r="D101" s="2" t="s">
        <v>73</v>
      </c>
      <c r="E101" s="2" t="s">
        <v>167</v>
      </c>
      <c r="F101" s="2" t="s">
        <v>78</v>
      </c>
      <c r="G101" s="2" t="s">
        <v>62</v>
      </c>
      <c r="H101" s="2" t="s">
        <v>26</v>
      </c>
      <c r="I101" s="2" t="s">
        <v>37</v>
      </c>
      <c r="J101" s="2" t="s">
        <v>38</v>
      </c>
      <c r="K101" s="2" t="s">
        <v>39</v>
      </c>
      <c r="L101" s="2" t="s">
        <v>161</v>
      </c>
      <c r="M101" s="2" t="n">
        <v>251</v>
      </c>
      <c r="N101" s="3" t="n">
        <v>30</v>
      </c>
      <c r="O101" s="4" t="n">
        <v>29.23</v>
      </c>
      <c r="P101" s="5" t="n">
        <v>10</v>
      </c>
      <c r="Q101" s="2" t="n">
        <v>1</v>
      </c>
      <c r="R101" s="4" t="n">
        <f aca="false">M101*O101</f>
        <v>7336.73</v>
      </c>
      <c r="S101" s="4" t="n">
        <f aca="false">R101*(P101/100)</f>
        <v>733.673</v>
      </c>
      <c r="T101" s="4" t="n">
        <f aca="false">R101-S101</f>
        <v>6603.057</v>
      </c>
    </row>
    <row r="102" customFormat="false" ht="15" hidden="false" customHeight="false" outlineLevel="0" collapsed="false">
      <c r="A102" s="2" t="n">
        <v>800101</v>
      </c>
      <c r="B102" s="2" t="s">
        <v>206</v>
      </c>
      <c r="C102" s="2" t="s">
        <v>41</v>
      </c>
      <c r="D102" s="2" t="s">
        <v>42</v>
      </c>
      <c r="E102" s="2" t="s">
        <v>179</v>
      </c>
      <c r="F102" s="2" t="s">
        <v>78</v>
      </c>
      <c r="G102" s="2" t="s">
        <v>137</v>
      </c>
      <c r="H102" s="2" t="s">
        <v>26</v>
      </c>
      <c r="I102" s="2" t="s">
        <v>57</v>
      </c>
      <c r="J102" s="2" t="s">
        <v>58</v>
      </c>
      <c r="K102" s="2" t="s">
        <v>59</v>
      </c>
      <c r="L102" s="2" t="s">
        <v>107</v>
      </c>
      <c r="M102" s="2" t="n">
        <v>211</v>
      </c>
      <c r="N102" s="3" t="n">
        <v>20</v>
      </c>
      <c r="O102" s="4" t="n">
        <v>19.67</v>
      </c>
      <c r="P102" s="5" t="n">
        <v>12.5</v>
      </c>
      <c r="Q102" s="2" t="n">
        <v>0</v>
      </c>
      <c r="R102" s="4" t="n">
        <f aca="false">M102*O102</f>
        <v>4150.37</v>
      </c>
      <c r="S102" s="4" t="n">
        <f aca="false">R102*(P102/100)</f>
        <v>518.79625</v>
      </c>
      <c r="T102" s="4" t="n">
        <f aca="false">R102-S102</f>
        <v>3631.57375</v>
      </c>
    </row>
    <row r="103" customFormat="false" ht="15" hidden="false" customHeight="false" outlineLevel="0" collapsed="false">
      <c r="A103" s="2" t="n">
        <v>800102</v>
      </c>
      <c r="B103" s="2" t="s">
        <v>216</v>
      </c>
      <c r="C103" s="2" t="s">
        <v>21</v>
      </c>
      <c r="D103" s="2" t="s">
        <v>22</v>
      </c>
      <c r="E103" s="2" t="s">
        <v>23</v>
      </c>
      <c r="F103" s="2" t="s">
        <v>78</v>
      </c>
      <c r="G103" s="2" t="s">
        <v>125</v>
      </c>
      <c r="H103" s="2" t="s">
        <v>26</v>
      </c>
      <c r="I103" s="2" t="s">
        <v>44</v>
      </c>
      <c r="J103" s="2" t="s">
        <v>45</v>
      </c>
      <c r="K103" s="2" t="s">
        <v>46</v>
      </c>
      <c r="L103" s="2" t="s">
        <v>30</v>
      </c>
      <c r="M103" s="2" t="n">
        <v>50</v>
      </c>
      <c r="N103" s="3" t="n">
        <v>20</v>
      </c>
      <c r="O103" s="4" t="n">
        <v>18.64</v>
      </c>
      <c r="P103" s="5" t="n">
        <v>7.5</v>
      </c>
      <c r="Q103" s="2" t="n">
        <v>0</v>
      </c>
      <c r="R103" s="4" t="n">
        <f aca="false">M103*O103</f>
        <v>932</v>
      </c>
      <c r="S103" s="4" t="n">
        <f aca="false">R103*(P103/100)</f>
        <v>69.9</v>
      </c>
      <c r="T103" s="4" t="n">
        <f aca="false">R103-S103</f>
        <v>862.1</v>
      </c>
    </row>
    <row r="104" customFormat="false" ht="15" hidden="false" customHeight="false" outlineLevel="0" collapsed="false">
      <c r="A104" s="2" t="n">
        <v>800103</v>
      </c>
      <c r="B104" s="2" t="s">
        <v>217</v>
      </c>
      <c r="C104" s="2" t="s">
        <v>84</v>
      </c>
      <c r="D104" s="2" t="s">
        <v>164</v>
      </c>
      <c r="E104" s="2" t="s">
        <v>211</v>
      </c>
      <c r="F104" s="2" t="s">
        <v>87</v>
      </c>
      <c r="G104" s="2" t="s">
        <v>143</v>
      </c>
      <c r="H104" s="2" t="s">
        <v>26</v>
      </c>
      <c r="I104" s="2" t="s">
        <v>44</v>
      </c>
      <c r="J104" s="2" t="s">
        <v>45</v>
      </c>
      <c r="K104" s="2" t="s">
        <v>111</v>
      </c>
      <c r="L104" s="2" t="s">
        <v>47</v>
      </c>
      <c r="M104" s="2" t="n">
        <v>315</v>
      </c>
      <c r="N104" s="3" t="n">
        <v>10</v>
      </c>
      <c r="O104" s="4" t="n">
        <v>9.21</v>
      </c>
      <c r="P104" s="5" t="n">
        <v>0</v>
      </c>
      <c r="Q104" s="2" t="n">
        <v>2</v>
      </c>
      <c r="R104" s="4" t="n">
        <f aca="false">M104*O104</f>
        <v>2901.15</v>
      </c>
      <c r="S104" s="4" t="n">
        <f aca="false">R104*(P104/100)</f>
        <v>0</v>
      </c>
      <c r="T104" s="4" t="n">
        <f aca="false">R104-S104</f>
        <v>2901.15</v>
      </c>
    </row>
    <row r="105" customFormat="false" ht="15" hidden="false" customHeight="false" outlineLevel="0" collapsed="false">
      <c r="A105" s="2" t="n">
        <v>800104</v>
      </c>
      <c r="B105" s="2" t="s">
        <v>175</v>
      </c>
      <c r="C105" s="2" t="s">
        <v>21</v>
      </c>
      <c r="D105" s="2" t="s">
        <v>147</v>
      </c>
      <c r="E105" s="2" t="s">
        <v>148</v>
      </c>
      <c r="F105" s="2" t="s">
        <v>87</v>
      </c>
      <c r="G105" s="2" t="s">
        <v>52</v>
      </c>
      <c r="H105" s="2" t="s">
        <v>26</v>
      </c>
      <c r="I105" s="2" t="s">
        <v>44</v>
      </c>
      <c r="J105" s="2" t="s">
        <v>126</v>
      </c>
      <c r="K105" s="2" t="s">
        <v>71</v>
      </c>
      <c r="L105" s="2" t="s">
        <v>99</v>
      </c>
      <c r="M105" s="2" t="n">
        <v>433</v>
      </c>
      <c r="N105" s="3" t="n">
        <v>20</v>
      </c>
      <c r="O105" s="4" t="n">
        <v>18.2</v>
      </c>
      <c r="P105" s="5" t="n">
        <v>0</v>
      </c>
      <c r="Q105" s="2" t="n">
        <v>0</v>
      </c>
      <c r="R105" s="4" t="n">
        <f aca="false">M105*O105</f>
        <v>7880.6</v>
      </c>
      <c r="S105" s="4" t="n">
        <f aca="false">R105*(P105/100)</f>
        <v>0</v>
      </c>
      <c r="T105" s="4" t="n">
        <f aca="false">R105-S105</f>
        <v>7880.6</v>
      </c>
    </row>
    <row r="106" customFormat="false" ht="15" hidden="false" customHeight="false" outlineLevel="0" collapsed="false">
      <c r="A106" s="2" t="n">
        <v>800105</v>
      </c>
      <c r="B106" s="2" t="s">
        <v>218</v>
      </c>
      <c r="C106" s="2" t="s">
        <v>32</v>
      </c>
      <c r="D106" s="2" t="s">
        <v>55</v>
      </c>
      <c r="E106" s="2" t="s">
        <v>93</v>
      </c>
      <c r="F106" s="2" t="s">
        <v>87</v>
      </c>
      <c r="G106" s="2" t="s">
        <v>137</v>
      </c>
      <c r="H106" s="2" t="s">
        <v>26</v>
      </c>
      <c r="I106" s="2" t="s">
        <v>69</v>
      </c>
      <c r="J106" s="2" t="s">
        <v>70</v>
      </c>
      <c r="K106" s="2" t="s">
        <v>39</v>
      </c>
      <c r="L106" s="2" t="s">
        <v>64</v>
      </c>
      <c r="M106" s="2" t="n">
        <v>309</v>
      </c>
      <c r="N106" s="3" t="n">
        <v>20</v>
      </c>
      <c r="O106" s="4" t="n">
        <v>18.84</v>
      </c>
      <c r="P106" s="5" t="n">
        <v>0</v>
      </c>
      <c r="Q106" s="2" t="n">
        <v>0</v>
      </c>
      <c r="R106" s="4" t="n">
        <f aca="false">M106*O106</f>
        <v>5821.56</v>
      </c>
      <c r="S106" s="4" t="n">
        <f aca="false">R106*(P106/100)</f>
        <v>0</v>
      </c>
      <c r="T106" s="4" t="n">
        <f aca="false">R106-S106</f>
        <v>5821.56</v>
      </c>
    </row>
    <row r="107" customFormat="false" ht="15" hidden="false" customHeight="false" outlineLevel="0" collapsed="false">
      <c r="A107" s="2" t="n">
        <v>800106</v>
      </c>
      <c r="B107" s="2" t="s">
        <v>219</v>
      </c>
      <c r="C107" s="2" t="s">
        <v>21</v>
      </c>
      <c r="D107" s="2" t="s">
        <v>22</v>
      </c>
      <c r="E107" s="2" t="s">
        <v>109</v>
      </c>
      <c r="F107" s="2" t="s">
        <v>51</v>
      </c>
      <c r="G107" s="2" t="s">
        <v>103</v>
      </c>
      <c r="H107" s="2" t="s">
        <v>26</v>
      </c>
      <c r="I107" s="2" t="s">
        <v>57</v>
      </c>
      <c r="J107" s="2" t="s">
        <v>58</v>
      </c>
      <c r="K107" s="2" t="s">
        <v>59</v>
      </c>
      <c r="L107" s="2" t="s">
        <v>64</v>
      </c>
      <c r="M107" s="2" t="n">
        <v>209</v>
      </c>
      <c r="N107" s="3" t="n">
        <v>20</v>
      </c>
      <c r="O107" s="4" t="n">
        <v>17.87</v>
      </c>
      <c r="P107" s="5" t="n">
        <v>7.5</v>
      </c>
      <c r="Q107" s="2" t="n">
        <v>0</v>
      </c>
      <c r="R107" s="4" t="n">
        <f aca="false">M107*O107</f>
        <v>3734.83</v>
      </c>
      <c r="S107" s="4" t="n">
        <f aca="false">R107*(P107/100)</f>
        <v>280.11225</v>
      </c>
      <c r="T107" s="4" t="n">
        <f aca="false">R107-S107</f>
        <v>3454.71775</v>
      </c>
    </row>
    <row r="108" customFormat="false" ht="15" hidden="false" customHeight="false" outlineLevel="0" collapsed="false">
      <c r="A108" s="2" t="n">
        <v>800107</v>
      </c>
      <c r="B108" s="2" t="s">
        <v>220</v>
      </c>
      <c r="C108" s="2" t="s">
        <v>32</v>
      </c>
      <c r="D108" s="2" t="s">
        <v>33</v>
      </c>
      <c r="E108" s="2" t="s">
        <v>34</v>
      </c>
      <c r="F108" s="2" t="s">
        <v>78</v>
      </c>
      <c r="G108" s="2" t="s">
        <v>62</v>
      </c>
      <c r="H108" s="2" t="s">
        <v>26</v>
      </c>
      <c r="I108" s="2" t="s">
        <v>69</v>
      </c>
      <c r="J108" s="2" t="s">
        <v>81</v>
      </c>
      <c r="K108" s="2" t="s">
        <v>39</v>
      </c>
      <c r="L108" s="2" t="s">
        <v>60</v>
      </c>
      <c r="M108" s="2" t="n">
        <v>358</v>
      </c>
      <c r="N108" s="3" t="n">
        <v>20</v>
      </c>
      <c r="O108" s="4" t="n">
        <v>18.19</v>
      </c>
      <c r="P108" s="5" t="n">
        <v>12.5</v>
      </c>
      <c r="Q108" s="2" t="n">
        <v>1</v>
      </c>
      <c r="R108" s="4" t="n">
        <f aca="false">M108*O108</f>
        <v>6512.02</v>
      </c>
      <c r="S108" s="4" t="n">
        <f aca="false">R108*(P108/100)</f>
        <v>814.0025</v>
      </c>
      <c r="T108" s="4" t="n">
        <f aca="false">R108-S108</f>
        <v>5698.0175</v>
      </c>
    </row>
    <row r="109" customFormat="false" ht="15" hidden="false" customHeight="false" outlineLevel="0" collapsed="false">
      <c r="A109" s="2" t="n">
        <v>800108</v>
      </c>
      <c r="B109" s="2" t="s">
        <v>72</v>
      </c>
      <c r="C109" s="2" t="s">
        <v>32</v>
      </c>
      <c r="D109" s="2" t="s">
        <v>76</v>
      </c>
      <c r="E109" s="2" t="s">
        <v>96</v>
      </c>
      <c r="F109" s="2" t="s">
        <v>87</v>
      </c>
      <c r="G109" s="2" t="s">
        <v>103</v>
      </c>
      <c r="H109" s="2" t="s">
        <v>26</v>
      </c>
      <c r="I109" s="2" t="s">
        <v>69</v>
      </c>
      <c r="J109" s="2" t="s">
        <v>81</v>
      </c>
      <c r="K109" s="2" t="s">
        <v>39</v>
      </c>
      <c r="L109" s="2" t="s">
        <v>53</v>
      </c>
      <c r="M109" s="2" t="n">
        <v>269</v>
      </c>
      <c r="N109" s="3" t="n">
        <v>20</v>
      </c>
      <c r="O109" s="4" t="n">
        <v>18.48</v>
      </c>
      <c r="P109" s="5" t="n">
        <v>5</v>
      </c>
      <c r="Q109" s="2" t="n">
        <v>0</v>
      </c>
      <c r="R109" s="4" t="n">
        <f aca="false">M109*O109</f>
        <v>4971.12</v>
      </c>
      <c r="S109" s="4" t="n">
        <f aca="false">R109*(P109/100)</f>
        <v>248.556</v>
      </c>
      <c r="T109" s="4" t="n">
        <f aca="false">R109-S109</f>
        <v>4722.564</v>
      </c>
    </row>
    <row r="110" customFormat="false" ht="15" hidden="false" customHeight="false" outlineLevel="0" collapsed="false">
      <c r="A110" s="2" t="n">
        <v>800109</v>
      </c>
      <c r="B110" s="2" t="s">
        <v>221</v>
      </c>
      <c r="C110" s="2" t="s">
        <v>41</v>
      </c>
      <c r="D110" s="2" t="s">
        <v>49</v>
      </c>
      <c r="E110" s="2" t="s">
        <v>50</v>
      </c>
      <c r="F110" s="2" t="s">
        <v>78</v>
      </c>
      <c r="G110" s="2" t="s">
        <v>25</v>
      </c>
      <c r="H110" s="2" t="s">
        <v>26</v>
      </c>
      <c r="I110" s="2" t="s">
        <v>44</v>
      </c>
      <c r="J110" s="2" t="s">
        <v>45</v>
      </c>
      <c r="K110" s="2" t="s">
        <v>46</v>
      </c>
      <c r="L110" s="2" t="s">
        <v>64</v>
      </c>
      <c r="M110" s="2" t="n">
        <v>411</v>
      </c>
      <c r="N110" s="3" t="n">
        <v>20</v>
      </c>
      <c r="O110" s="4" t="n">
        <v>17.72</v>
      </c>
      <c r="P110" s="5" t="n">
        <v>7.5</v>
      </c>
      <c r="Q110" s="2" t="n">
        <v>0</v>
      </c>
      <c r="R110" s="4" t="n">
        <f aca="false">M110*O110</f>
        <v>7282.92</v>
      </c>
      <c r="S110" s="4" t="n">
        <f aca="false">R110*(P110/100)</f>
        <v>546.219</v>
      </c>
      <c r="T110" s="4" t="n">
        <f aca="false">R110-S110</f>
        <v>6736.701</v>
      </c>
    </row>
    <row r="111" customFormat="false" ht="15" hidden="false" customHeight="false" outlineLevel="0" collapsed="false">
      <c r="A111" s="2" t="n">
        <v>800110</v>
      </c>
      <c r="B111" s="2" t="s">
        <v>212</v>
      </c>
      <c r="C111" s="2" t="s">
        <v>41</v>
      </c>
      <c r="D111" s="2" t="s">
        <v>49</v>
      </c>
      <c r="E111" s="2" t="s">
        <v>80</v>
      </c>
      <c r="F111" s="2" t="s">
        <v>24</v>
      </c>
      <c r="G111" s="2" t="s">
        <v>106</v>
      </c>
      <c r="H111" s="2" t="s">
        <v>26</v>
      </c>
      <c r="I111" s="2" t="s">
        <v>57</v>
      </c>
      <c r="J111" s="2" t="s">
        <v>104</v>
      </c>
      <c r="K111" s="2" t="s">
        <v>59</v>
      </c>
      <c r="L111" s="2" t="s">
        <v>30</v>
      </c>
      <c r="M111" s="2" t="n">
        <v>306</v>
      </c>
      <c r="N111" s="3" t="n">
        <v>25</v>
      </c>
      <c r="O111" s="4" t="n">
        <v>24.17</v>
      </c>
      <c r="P111" s="5" t="n">
        <v>7.5</v>
      </c>
      <c r="Q111" s="2" t="n">
        <v>0</v>
      </c>
      <c r="R111" s="4" t="n">
        <f aca="false">M111*O111</f>
        <v>7396.02</v>
      </c>
      <c r="S111" s="4" t="n">
        <f aca="false">R111*(P111/100)</f>
        <v>554.7015</v>
      </c>
      <c r="T111" s="4" t="n">
        <f aca="false">R111-S111</f>
        <v>6841.3185</v>
      </c>
    </row>
    <row r="112" customFormat="false" ht="15" hidden="false" customHeight="false" outlineLevel="0" collapsed="false">
      <c r="A112" s="2" t="n">
        <v>800111</v>
      </c>
      <c r="B112" s="2" t="s">
        <v>185</v>
      </c>
      <c r="C112" s="2" t="s">
        <v>21</v>
      </c>
      <c r="D112" s="2" t="s">
        <v>101</v>
      </c>
      <c r="E112" s="2" t="s">
        <v>122</v>
      </c>
      <c r="F112" s="2" t="s">
        <v>51</v>
      </c>
      <c r="G112" s="2" t="s">
        <v>52</v>
      </c>
      <c r="H112" s="2" t="s">
        <v>26</v>
      </c>
      <c r="I112" s="2" t="s">
        <v>44</v>
      </c>
      <c r="J112" s="2" t="s">
        <v>126</v>
      </c>
      <c r="K112" s="2" t="s">
        <v>71</v>
      </c>
      <c r="L112" s="2" t="s">
        <v>161</v>
      </c>
      <c r="M112" s="2" t="n">
        <v>313</v>
      </c>
      <c r="N112" s="3" t="n">
        <v>20</v>
      </c>
      <c r="O112" s="4" t="n">
        <v>18.13</v>
      </c>
      <c r="P112" s="5" t="n">
        <v>10</v>
      </c>
      <c r="Q112" s="2" t="n">
        <v>0</v>
      </c>
      <c r="R112" s="4" t="n">
        <f aca="false">M112*O112</f>
        <v>5674.69</v>
      </c>
      <c r="S112" s="4" t="n">
        <f aca="false">R112*(P112/100)</f>
        <v>567.469</v>
      </c>
      <c r="T112" s="4" t="n">
        <f aca="false">R112-S112</f>
        <v>5107.221</v>
      </c>
    </row>
    <row r="113" customFormat="false" ht="15" hidden="false" customHeight="false" outlineLevel="0" collapsed="false">
      <c r="A113" s="2" t="n">
        <v>800112</v>
      </c>
      <c r="B113" s="2" t="s">
        <v>92</v>
      </c>
      <c r="C113" s="2" t="s">
        <v>41</v>
      </c>
      <c r="D113" s="2" t="s">
        <v>73</v>
      </c>
      <c r="E113" s="2" t="s">
        <v>74</v>
      </c>
      <c r="F113" s="2" t="s">
        <v>24</v>
      </c>
      <c r="G113" s="2" t="s">
        <v>143</v>
      </c>
      <c r="H113" s="2" t="s">
        <v>26</v>
      </c>
      <c r="I113" s="2" t="s">
        <v>57</v>
      </c>
      <c r="J113" s="2" t="s">
        <v>58</v>
      </c>
      <c r="K113" s="2" t="s">
        <v>59</v>
      </c>
      <c r="L113" s="2" t="s">
        <v>47</v>
      </c>
      <c r="M113" s="2" t="n">
        <v>243</v>
      </c>
      <c r="N113" s="3" t="n">
        <v>20</v>
      </c>
      <c r="O113" s="4" t="n">
        <v>19.36</v>
      </c>
      <c r="P113" s="5" t="n">
        <v>2</v>
      </c>
      <c r="Q113" s="2" t="n">
        <v>1</v>
      </c>
      <c r="R113" s="4" t="n">
        <f aca="false">M113*O113</f>
        <v>4704.48</v>
      </c>
      <c r="S113" s="4" t="n">
        <f aca="false">R113*(P113/100)</f>
        <v>94.0896</v>
      </c>
      <c r="T113" s="4" t="n">
        <f aca="false">R113-S113</f>
        <v>4610.3904</v>
      </c>
    </row>
    <row r="114" customFormat="false" ht="15" hidden="false" customHeight="false" outlineLevel="0" collapsed="false">
      <c r="A114" s="2" t="n">
        <v>800113</v>
      </c>
      <c r="B114" s="2" t="s">
        <v>222</v>
      </c>
      <c r="C114" s="2" t="s">
        <v>41</v>
      </c>
      <c r="D114" s="2" t="s">
        <v>49</v>
      </c>
      <c r="E114" s="2" t="s">
        <v>50</v>
      </c>
      <c r="F114" s="2" t="s">
        <v>51</v>
      </c>
      <c r="G114" s="2" t="s">
        <v>68</v>
      </c>
      <c r="H114" s="2" t="s">
        <v>26</v>
      </c>
      <c r="I114" s="2" t="s">
        <v>44</v>
      </c>
      <c r="J114" s="2" t="s">
        <v>45</v>
      </c>
      <c r="K114" s="2" t="s">
        <v>46</v>
      </c>
      <c r="L114" s="2" t="s">
        <v>82</v>
      </c>
      <c r="M114" s="2" t="n">
        <v>418</v>
      </c>
      <c r="N114" s="3" t="n">
        <v>20</v>
      </c>
      <c r="O114" s="4" t="n">
        <v>17.47</v>
      </c>
      <c r="P114" s="5" t="n">
        <v>0</v>
      </c>
      <c r="Q114" s="2" t="n">
        <v>3</v>
      </c>
      <c r="R114" s="4" t="n">
        <f aca="false">M114*O114</f>
        <v>7302.46</v>
      </c>
      <c r="S114" s="4" t="n">
        <f aca="false">R114*(P114/100)</f>
        <v>0</v>
      </c>
      <c r="T114" s="4" t="n">
        <f aca="false">R114-S114</f>
        <v>7302.46</v>
      </c>
    </row>
    <row r="115" customFormat="false" ht="15" hidden="false" customHeight="false" outlineLevel="0" collapsed="false">
      <c r="A115" s="2" t="n">
        <v>800114</v>
      </c>
      <c r="B115" s="2" t="s">
        <v>223</v>
      </c>
      <c r="C115" s="2" t="s">
        <v>32</v>
      </c>
      <c r="D115" s="2" t="s">
        <v>55</v>
      </c>
      <c r="E115" s="2" t="s">
        <v>93</v>
      </c>
      <c r="F115" s="2" t="s">
        <v>24</v>
      </c>
      <c r="G115" s="2" t="s">
        <v>25</v>
      </c>
      <c r="H115" s="2" t="s">
        <v>26</v>
      </c>
      <c r="I115" s="2" t="s">
        <v>69</v>
      </c>
      <c r="J115" s="2" t="s">
        <v>70</v>
      </c>
      <c r="K115" s="2" t="s">
        <v>39</v>
      </c>
      <c r="L115" s="2" t="s">
        <v>107</v>
      </c>
      <c r="M115" s="2" t="n">
        <v>121</v>
      </c>
      <c r="N115" s="3" t="n">
        <v>20</v>
      </c>
      <c r="O115" s="4" t="n">
        <v>17.49</v>
      </c>
      <c r="P115" s="5" t="n">
        <v>0</v>
      </c>
      <c r="Q115" s="2" t="n">
        <v>0</v>
      </c>
      <c r="R115" s="4" t="n">
        <f aca="false">M115*O115</f>
        <v>2116.29</v>
      </c>
      <c r="S115" s="4" t="n">
        <f aca="false">R115*(P115/100)</f>
        <v>0</v>
      </c>
      <c r="T115" s="4" t="n">
        <f aca="false">R115-S115</f>
        <v>2116.29</v>
      </c>
    </row>
    <row r="116" customFormat="false" ht="15" hidden="false" customHeight="false" outlineLevel="0" collapsed="false">
      <c r="A116" s="2" t="n">
        <v>800115</v>
      </c>
      <c r="B116" s="2" t="s">
        <v>224</v>
      </c>
      <c r="C116" s="2" t="s">
        <v>41</v>
      </c>
      <c r="D116" s="2" t="s">
        <v>42</v>
      </c>
      <c r="E116" s="2" t="s">
        <v>179</v>
      </c>
      <c r="F116" s="2" t="s">
        <v>35</v>
      </c>
      <c r="G116" s="2" t="s">
        <v>94</v>
      </c>
      <c r="H116" s="2" t="s">
        <v>26</v>
      </c>
      <c r="I116" s="2" t="s">
        <v>37</v>
      </c>
      <c r="J116" s="2" t="s">
        <v>38</v>
      </c>
      <c r="K116" s="2" t="s">
        <v>39</v>
      </c>
      <c r="L116" s="2" t="s">
        <v>82</v>
      </c>
      <c r="M116" s="2" t="n">
        <v>97</v>
      </c>
      <c r="N116" s="3" t="n">
        <v>30</v>
      </c>
      <c r="O116" s="4" t="n">
        <v>27.35</v>
      </c>
      <c r="P116" s="5" t="n">
        <v>12.5</v>
      </c>
      <c r="Q116" s="2" t="n">
        <v>2</v>
      </c>
      <c r="R116" s="4" t="n">
        <f aca="false">M116*O116</f>
        <v>2652.95</v>
      </c>
      <c r="S116" s="4" t="n">
        <f aca="false">R116*(P116/100)</f>
        <v>331.61875</v>
      </c>
      <c r="T116" s="4" t="n">
        <f aca="false">R116-S116</f>
        <v>2321.33125</v>
      </c>
    </row>
    <row r="117" customFormat="false" ht="15" hidden="false" customHeight="false" outlineLevel="0" collapsed="false">
      <c r="A117" s="2" t="n">
        <v>800116</v>
      </c>
      <c r="B117" s="2" t="s">
        <v>225</v>
      </c>
      <c r="C117" s="2" t="s">
        <v>84</v>
      </c>
      <c r="D117" s="2" t="s">
        <v>119</v>
      </c>
      <c r="E117" s="2" t="s">
        <v>120</v>
      </c>
      <c r="F117" s="2" t="s">
        <v>87</v>
      </c>
      <c r="G117" s="2" t="s">
        <v>90</v>
      </c>
      <c r="H117" s="2" t="s">
        <v>26</v>
      </c>
      <c r="I117" s="2" t="s">
        <v>69</v>
      </c>
      <c r="J117" s="2" t="s">
        <v>81</v>
      </c>
      <c r="K117" s="2" t="s">
        <v>39</v>
      </c>
      <c r="L117" s="2" t="s">
        <v>60</v>
      </c>
      <c r="M117" s="2" t="n">
        <v>251</v>
      </c>
      <c r="N117" s="3" t="n">
        <v>20</v>
      </c>
      <c r="O117" s="4" t="n">
        <v>17.11</v>
      </c>
      <c r="P117" s="5" t="n">
        <v>7.5</v>
      </c>
      <c r="Q117" s="2" t="n">
        <v>0</v>
      </c>
      <c r="R117" s="4" t="n">
        <f aca="false">M117*O117</f>
        <v>4294.61</v>
      </c>
      <c r="S117" s="4" t="n">
        <f aca="false">R117*(P117/100)</f>
        <v>322.09575</v>
      </c>
      <c r="T117" s="4" t="n">
        <f aca="false">R117-S117</f>
        <v>3972.51425</v>
      </c>
    </row>
    <row r="118" customFormat="false" ht="15" hidden="false" customHeight="false" outlineLevel="0" collapsed="false">
      <c r="A118" s="2" t="n">
        <v>800117</v>
      </c>
      <c r="B118" s="2" t="s">
        <v>188</v>
      </c>
      <c r="C118" s="2" t="s">
        <v>21</v>
      </c>
      <c r="D118" s="2" t="s">
        <v>171</v>
      </c>
      <c r="E118" s="2" t="s">
        <v>192</v>
      </c>
      <c r="F118" s="2" t="s">
        <v>51</v>
      </c>
      <c r="G118" s="2" t="s">
        <v>143</v>
      </c>
      <c r="H118" s="2" t="s">
        <v>26</v>
      </c>
      <c r="I118" s="2" t="s">
        <v>37</v>
      </c>
      <c r="J118" s="2" t="s">
        <v>38</v>
      </c>
      <c r="K118" s="2" t="s">
        <v>39</v>
      </c>
      <c r="L118" s="2" t="s">
        <v>60</v>
      </c>
      <c r="M118" s="2" t="n">
        <v>485</v>
      </c>
      <c r="N118" s="3" t="n">
        <v>30</v>
      </c>
      <c r="O118" s="4" t="n">
        <v>28.9</v>
      </c>
      <c r="P118" s="5" t="n">
        <v>2</v>
      </c>
      <c r="Q118" s="2" t="n">
        <v>1</v>
      </c>
      <c r="R118" s="4" t="n">
        <f aca="false">M118*O118</f>
        <v>14016.5</v>
      </c>
      <c r="S118" s="4" t="n">
        <f aca="false">R118*(P118/100)</f>
        <v>280.33</v>
      </c>
      <c r="T118" s="4" t="n">
        <f aca="false">R118-S118</f>
        <v>13736.17</v>
      </c>
    </row>
    <row r="119" customFormat="false" ht="15" hidden="false" customHeight="false" outlineLevel="0" collapsed="false">
      <c r="A119" s="2" t="n">
        <v>800118</v>
      </c>
      <c r="B119" s="2" t="s">
        <v>226</v>
      </c>
      <c r="C119" s="2" t="s">
        <v>41</v>
      </c>
      <c r="D119" s="2" t="s">
        <v>49</v>
      </c>
      <c r="E119" s="2" t="s">
        <v>50</v>
      </c>
      <c r="F119" s="2" t="s">
        <v>78</v>
      </c>
      <c r="G119" s="2" t="s">
        <v>94</v>
      </c>
      <c r="H119" s="2" t="s">
        <v>26</v>
      </c>
      <c r="I119" s="2" t="s">
        <v>69</v>
      </c>
      <c r="J119" s="2" t="s">
        <v>81</v>
      </c>
      <c r="K119" s="2" t="s">
        <v>71</v>
      </c>
      <c r="L119" s="2" t="s">
        <v>47</v>
      </c>
      <c r="M119" s="2" t="n">
        <v>278</v>
      </c>
      <c r="N119" s="3" t="n">
        <v>40</v>
      </c>
      <c r="O119" s="4" t="n">
        <v>37.62</v>
      </c>
      <c r="P119" s="5" t="n">
        <v>0</v>
      </c>
      <c r="Q119" s="2" t="n">
        <v>0</v>
      </c>
      <c r="R119" s="4" t="n">
        <f aca="false">M119*O119</f>
        <v>10458.36</v>
      </c>
      <c r="S119" s="4" t="n">
        <f aca="false">R119*(P119/100)</f>
        <v>0</v>
      </c>
      <c r="T119" s="4" t="n">
        <f aca="false">R119-S119</f>
        <v>10458.36</v>
      </c>
    </row>
    <row r="120" customFormat="false" ht="15" hidden="false" customHeight="false" outlineLevel="0" collapsed="false">
      <c r="A120" s="2" t="n">
        <v>800119</v>
      </c>
      <c r="B120" s="2" t="s">
        <v>227</v>
      </c>
      <c r="C120" s="2" t="s">
        <v>41</v>
      </c>
      <c r="D120" s="2" t="s">
        <v>42</v>
      </c>
      <c r="E120" s="2" t="s">
        <v>179</v>
      </c>
      <c r="F120" s="2" t="s">
        <v>35</v>
      </c>
      <c r="G120" s="2" t="s">
        <v>143</v>
      </c>
      <c r="H120" s="2" t="s">
        <v>26</v>
      </c>
      <c r="I120" s="2" t="s">
        <v>27</v>
      </c>
      <c r="J120" s="2" t="s">
        <v>91</v>
      </c>
      <c r="K120" s="2" t="s">
        <v>29</v>
      </c>
      <c r="L120" s="2" t="s">
        <v>82</v>
      </c>
      <c r="M120" s="2" t="n">
        <v>489</v>
      </c>
      <c r="N120" s="3" t="n">
        <v>35</v>
      </c>
      <c r="O120" s="4" t="n">
        <v>31.14</v>
      </c>
      <c r="P120" s="5" t="n">
        <v>10</v>
      </c>
      <c r="Q120" s="2" t="n">
        <v>1</v>
      </c>
      <c r="R120" s="4" t="n">
        <f aca="false">M120*O120</f>
        <v>15227.46</v>
      </c>
      <c r="S120" s="4" t="n">
        <f aca="false">R120*(P120/100)</f>
        <v>1522.746</v>
      </c>
      <c r="T120" s="4" t="n">
        <f aca="false">R120-S120</f>
        <v>13704.714</v>
      </c>
    </row>
    <row r="121" customFormat="false" ht="15" hidden="false" customHeight="false" outlineLevel="0" collapsed="false">
      <c r="A121" s="2" t="n">
        <v>800120</v>
      </c>
      <c r="B121" s="2" t="s">
        <v>163</v>
      </c>
      <c r="C121" s="2" t="s">
        <v>21</v>
      </c>
      <c r="D121" s="2" t="s">
        <v>147</v>
      </c>
      <c r="E121" s="2" t="s">
        <v>228</v>
      </c>
      <c r="F121" s="2" t="s">
        <v>87</v>
      </c>
      <c r="G121" s="2" t="s">
        <v>52</v>
      </c>
      <c r="H121" s="2" t="s">
        <v>26</v>
      </c>
      <c r="I121" s="2" t="s">
        <v>37</v>
      </c>
      <c r="J121" s="2" t="s">
        <v>38</v>
      </c>
      <c r="K121" s="2" t="s">
        <v>39</v>
      </c>
      <c r="L121" s="2" t="s">
        <v>107</v>
      </c>
      <c r="M121" s="2" t="n">
        <v>149</v>
      </c>
      <c r="N121" s="3" t="n">
        <v>30</v>
      </c>
      <c r="O121" s="4" t="n">
        <v>28.54</v>
      </c>
      <c r="P121" s="5" t="n">
        <v>0</v>
      </c>
      <c r="Q121" s="2" t="n">
        <v>1</v>
      </c>
      <c r="R121" s="4" t="n">
        <f aca="false">M121*O121</f>
        <v>4252.46</v>
      </c>
      <c r="S121" s="4" t="n">
        <f aca="false">R121*(P121/100)</f>
        <v>0</v>
      </c>
      <c r="T121" s="4" t="n">
        <f aca="false">R121-S121</f>
        <v>4252.46</v>
      </c>
    </row>
    <row r="122" customFormat="false" ht="15" hidden="false" customHeight="false" outlineLevel="0" collapsed="false">
      <c r="A122" s="2" t="n">
        <v>800121</v>
      </c>
      <c r="B122" s="2" t="s">
        <v>229</v>
      </c>
      <c r="C122" s="2" t="s">
        <v>32</v>
      </c>
      <c r="D122" s="2" t="s">
        <v>55</v>
      </c>
      <c r="E122" s="2" t="s">
        <v>93</v>
      </c>
      <c r="F122" s="2" t="s">
        <v>51</v>
      </c>
      <c r="G122" s="2" t="s">
        <v>106</v>
      </c>
      <c r="H122" s="2" t="s">
        <v>26</v>
      </c>
      <c r="I122" s="2" t="s">
        <v>37</v>
      </c>
      <c r="J122" s="2" t="s">
        <v>38</v>
      </c>
      <c r="K122" s="2" t="s">
        <v>39</v>
      </c>
      <c r="L122" s="2" t="s">
        <v>107</v>
      </c>
      <c r="M122" s="2" t="n">
        <v>306</v>
      </c>
      <c r="N122" s="3" t="n">
        <v>30</v>
      </c>
      <c r="O122" s="4" t="n">
        <v>27.08</v>
      </c>
      <c r="P122" s="5" t="n">
        <v>7.5</v>
      </c>
      <c r="Q122" s="2" t="n">
        <v>0</v>
      </c>
      <c r="R122" s="4" t="n">
        <f aca="false">M122*O122</f>
        <v>8286.48</v>
      </c>
      <c r="S122" s="4" t="n">
        <f aca="false">R122*(P122/100)</f>
        <v>621.486</v>
      </c>
      <c r="T122" s="4" t="n">
        <f aca="false">R122-S122</f>
        <v>7664.994</v>
      </c>
    </row>
    <row r="123" customFormat="false" ht="15" hidden="false" customHeight="false" outlineLevel="0" collapsed="false">
      <c r="A123" s="2" t="n">
        <v>800122</v>
      </c>
      <c r="B123" s="2" t="s">
        <v>230</v>
      </c>
      <c r="C123" s="2" t="s">
        <v>21</v>
      </c>
      <c r="D123" s="2" t="s">
        <v>101</v>
      </c>
      <c r="E123" s="2" t="s">
        <v>102</v>
      </c>
      <c r="F123" s="2" t="s">
        <v>78</v>
      </c>
      <c r="G123" s="2" t="s">
        <v>137</v>
      </c>
      <c r="H123" s="2" t="s">
        <v>26</v>
      </c>
      <c r="I123" s="2" t="s">
        <v>44</v>
      </c>
      <c r="J123" s="2" t="s">
        <v>45</v>
      </c>
      <c r="K123" s="2" t="s">
        <v>46</v>
      </c>
      <c r="L123" s="2" t="s">
        <v>99</v>
      </c>
      <c r="M123" s="2" t="n">
        <v>194</v>
      </c>
      <c r="N123" s="3" t="n">
        <v>20</v>
      </c>
      <c r="O123" s="4" t="n">
        <v>19.65</v>
      </c>
      <c r="P123" s="5" t="n">
        <v>12.5</v>
      </c>
      <c r="Q123" s="2" t="n">
        <v>0</v>
      </c>
      <c r="R123" s="4" t="n">
        <f aca="false">M123*O123</f>
        <v>3812.1</v>
      </c>
      <c r="S123" s="4" t="n">
        <f aca="false">R123*(P123/100)</f>
        <v>476.5125</v>
      </c>
      <c r="T123" s="4" t="n">
        <f aca="false">R123-S123</f>
        <v>3335.5875</v>
      </c>
    </row>
    <row r="124" customFormat="false" ht="15" hidden="false" customHeight="false" outlineLevel="0" collapsed="false">
      <c r="A124" s="2" t="n">
        <v>800123</v>
      </c>
      <c r="B124" s="2" t="s">
        <v>231</v>
      </c>
      <c r="C124" s="2" t="s">
        <v>32</v>
      </c>
      <c r="D124" s="2" t="s">
        <v>33</v>
      </c>
      <c r="E124" s="2" t="s">
        <v>141</v>
      </c>
      <c r="F124" s="2" t="s">
        <v>87</v>
      </c>
      <c r="G124" s="2" t="s">
        <v>52</v>
      </c>
      <c r="H124" s="2" t="s">
        <v>26</v>
      </c>
      <c r="I124" s="2" t="s">
        <v>37</v>
      </c>
      <c r="J124" s="2" t="s">
        <v>38</v>
      </c>
      <c r="K124" s="2" t="s">
        <v>39</v>
      </c>
      <c r="L124" s="2" t="s">
        <v>82</v>
      </c>
      <c r="M124" s="2" t="n">
        <v>468</v>
      </c>
      <c r="N124" s="3" t="n">
        <v>30</v>
      </c>
      <c r="O124" s="4" t="n">
        <v>28.72</v>
      </c>
      <c r="P124" s="5" t="n">
        <v>0</v>
      </c>
      <c r="Q124" s="2" t="n">
        <v>1</v>
      </c>
      <c r="R124" s="4" t="n">
        <f aca="false">M124*O124</f>
        <v>13440.96</v>
      </c>
      <c r="S124" s="4" t="n">
        <f aca="false">R124*(P124/100)</f>
        <v>0</v>
      </c>
      <c r="T124" s="4" t="n">
        <f aca="false">R124-S124</f>
        <v>13440.96</v>
      </c>
    </row>
    <row r="125" customFormat="false" ht="15" hidden="false" customHeight="false" outlineLevel="0" collapsed="false">
      <c r="A125" s="2" t="n">
        <v>800124</v>
      </c>
      <c r="B125" s="2" t="s">
        <v>232</v>
      </c>
      <c r="C125" s="2" t="s">
        <v>32</v>
      </c>
      <c r="D125" s="2" t="s">
        <v>33</v>
      </c>
      <c r="E125" s="2" t="s">
        <v>34</v>
      </c>
      <c r="F125" s="2" t="s">
        <v>35</v>
      </c>
      <c r="G125" s="2" t="s">
        <v>106</v>
      </c>
      <c r="H125" s="2" t="s">
        <v>26</v>
      </c>
      <c r="I125" s="2" t="s">
        <v>57</v>
      </c>
      <c r="J125" s="2" t="s">
        <v>104</v>
      </c>
      <c r="K125" s="2" t="s">
        <v>59</v>
      </c>
      <c r="L125" s="2" t="s">
        <v>161</v>
      </c>
      <c r="M125" s="2" t="n">
        <v>206</v>
      </c>
      <c r="N125" s="3" t="n">
        <v>25</v>
      </c>
      <c r="O125" s="4" t="n">
        <v>23.62</v>
      </c>
      <c r="P125" s="5" t="n">
        <v>2</v>
      </c>
      <c r="Q125" s="2" t="n">
        <v>2</v>
      </c>
      <c r="R125" s="4" t="n">
        <f aca="false">M125*O125</f>
        <v>4865.72</v>
      </c>
      <c r="S125" s="4" t="n">
        <f aca="false">R125*(P125/100)</f>
        <v>97.3144</v>
      </c>
      <c r="T125" s="4" t="n">
        <f aca="false">R125-S125</f>
        <v>4768.4056</v>
      </c>
    </row>
    <row r="126" customFormat="false" ht="15" hidden="false" customHeight="false" outlineLevel="0" collapsed="false">
      <c r="A126" s="2" t="n">
        <v>800125</v>
      </c>
      <c r="B126" s="2" t="s">
        <v>233</v>
      </c>
      <c r="C126" s="2" t="s">
        <v>84</v>
      </c>
      <c r="D126" s="2" t="s">
        <v>164</v>
      </c>
      <c r="E126" s="2" t="s">
        <v>211</v>
      </c>
      <c r="F126" s="2" t="s">
        <v>35</v>
      </c>
      <c r="G126" s="2" t="s">
        <v>25</v>
      </c>
      <c r="H126" s="2" t="s">
        <v>26</v>
      </c>
      <c r="I126" s="2" t="s">
        <v>44</v>
      </c>
      <c r="J126" s="2" t="s">
        <v>45</v>
      </c>
      <c r="K126" s="2" t="s">
        <v>111</v>
      </c>
      <c r="L126" s="2" t="s">
        <v>99</v>
      </c>
      <c r="M126" s="2" t="n">
        <v>208</v>
      </c>
      <c r="N126" s="3" t="n">
        <v>10</v>
      </c>
      <c r="O126" s="4" t="n">
        <v>9.45</v>
      </c>
      <c r="P126" s="5" t="n">
        <v>12.5</v>
      </c>
      <c r="Q126" s="2" t="n">
        <v>2</v>
      </c>
      <c r="R126" s="4" t="n">
        <f aca="false">M126*O126</f>
        <v>1965.6</v>
      </c>
      <c r="S126" s="4" t="n">
        <f aca="false">R126*(P126/100)</f>
        <v>245.7</v>
      </c>
      <c r="T126" s="4" t="n">
        <f aca="false">R126-S126</f>
        <v>1719.9</v>
      </c>
    </row>
    <row r="127" customFormat="false" ht="15" hidden="false" customHeight="false" outlineLevel="0" collapsed="false">
      <c r="A127" s="2" t="n">
        <v>800126</v>
      </c>
      <c r="B127" s="2" t="s">
        <v>234</v>
      </c>
      <c r="C127" s="2" t="s">
        <v>41</v>
      </c>
      <c r="D127" s="2" t="s">
        <v>49</v>
      </c>
      <c r="E127" s="2" t="s">
        <v>80</v>
      </c>
      <c r="F127" s="2" t="s">
        <v>24</v>
      </c>
      <c r="G127" s="2" t="s">
        <v>25</v>
      </c>
      <c r="H127" s="2" t="s">
        <v>26</v>
      </c>
      <c r="I127" s="2" t="s">
        <v>37</v>
      </c>
      <c r="J127" s="2" t="s">
        <v>38</v>
      </c>
      <c r="K127" s="2" t="s">
        <v>39</v>
      </c>
      <c r="L127" s="2" t="s">
        <v>107</v>
      </c>
      <c r="M127" s="2" t="n">
        <v>46</v>
      </c>
      <c r="N127" s="3" t="n">
        <v>30</v>
      </c>
      <c r="O127" s="4" t="n">
        <v>28.19</v>
      </c>
      <c r="P127" s="5" t="n">
        <v>7.5</v>
      </c>
      <c r="Q127" s="2" t="n">
        <v>3</v>
      </c>
      <c r="R127" s="4" t="n">
        <f aca="false">M127*O127</f>
        <v>1296.74</v>
      </c>
      <c r="S127" s="4" t="n">
        <f aca="false">R127*(P127/100)</f>
        <v>97.2555</v>
      </c>
      <c r="T127" s="4" t="n">
        <f aca="false">R127-S127</f>
        <v>1199.4845</v>
      </c>
    </row>
    <row r="128" customFormat="false" ht="15" hidden="false" customHeight="false" outlineLevel="0" collapsed="false">
      <c r="A128" s="2" t="n">
        <v>800127</v>
      </c>
      <c r="B128" s="2" t="s">
        <v>235</v>
      </c>
      <c r="C128" s="2" t="s">
        <v>21</v>
      </c>
      <c r="D128" s="2" t="s">
        <v>147</v>
      </c>
      <c r="E128" s="2" t="s">
        <v>228</v>
      </c>
      <c r="F128" s="2" t="s">
        <v>24</v>
      </c>
      <c r="G128" s="2" t="s">
        <v>68</v>
      </c>
      <c r="H128" s="2" t="s">
        <v>26</v>
      </c>
      <c r="I128" s="2" t="s">
        <v>57</v>
      </c>
      <c r="J128" s="2" t="s">
        <v>104</v>
      </c>
      <c r="K128" s="2" t="s">
        <v>59</v>
      </c>
      <c r="L128" s="2" t="s">
        <v>161</v>
      </c>
      <c r="M128" s="2" t="n">
        <v>66</v>
      </c>
      <c r="N128" s="3" t="n">
        <v>25</v>
      </c>
      <c r="O128" s="4" t="n">
        <v>24.56</v>
      </c>
      <c r="P128" s="5" t="n">
        <v>2</v>
      </c>
      <c r="Q128" s="2" t="n">
        <v>2</v>
      </c>
      <c r="R128" s="4" t="n">
        <f aca="false">M128*O128</f>
        <v>1620.96</v>
      </c>
      <c r="S128" s="4" t="n">
        <f aca="false">R128*(P128/100)</f>
        <v>32.4192</v>
      </c>
      <c r="T128" s="4" t="n">
        <f aca="false">R128-S128</f>
        <v>1588.5408</v>
      </c>
    </row>
    <row r="129" customFormat="false" ht="15" hidden="false" customHeight="false" outlineLevel="0" collapsed="false">
      <c r="A129" s="2" t="n">
        <v>800128</v>
      </c>
      <c r="B129" s="2" t="s">
        <v>236</v>
      </c>
      <c r="C129" s="2" t="s">
        <v>21</v>
      </c>
      <c r="D129" s="2" t="s">
        <v>101</v>
      </c>
      <c r="E129" s="2" t="s">
        <v>122</v>
      </c>
      <c r="F129" s="2" t="s">
        <v>51</v>
      </c>
      <c r="G129" s="2" t="s">
        <v>90</v>
      </c>
      <c r="H129" s="2" t="s">
        <v>26</v>
      </c>
      <c r="I129" s="2" t="s">
        <v>44</v>
      </c>
      <c r="J129" s="2" t="s">
        <v>45</v>
      </c>
      <c r="K129" s="2" t="s">
        <v>46</v>
      </c>
      <c r="L129" s="2" t="s">
        <v>161</v>
      </c>
      <c r="M129" s="2" t="n">
        <v>61</v>
      </c>
      <c r="N129" s="3" t="n">
        <v>20</v>
      </c>
      <c r="O129" s="4" t="n">
        <v>18.05</v>
      </c>
      <c r="P129" s="5" t="n">
        <v>0</v>
      </c>
      <c r="Q129" s="2" t="n">
        <v>1</v>
      </c>
      <c r="R129" s="4" t="n">
        <f aca="false">M129*O129</f>
        <v>1101.05</v>
      </c>
      <c r="S129" s="4" t="n">
        <f aca="false">R129*(P129/100)</f>
        <v>0</v>
      </c>
      <c r="T129" s="4" t="n">
        <f aca="false">R129-S129</f>
        <v>1101.05</v>
      </c>
    </row>
    <row r="130" customFormat="false" ht="15" hidden="false" customHeight="false" outlineLevel="0" collapsed="false">
      <c r="A130" s="2" t="n">
        <v>800129</v>
      </c>
      <c r="B130" s="2" t="s">
        <v>237</v>
      </c>
      <c r="C130" s="2" t="s">
        <v>84</v>
      </c>
      <c r="D130" s="2" t="s">
        <v>85</v>
      </c>
      <c r="E130" s="2" t="s">
        <v>86</v>
      </c>
      <c r="F130" s="2" t="s">
        <v>78</v>
      </c>
      <c r="G130" s="2" t="s">
        <v>68</v>
      </c>
      <c r="H130" s="2" t="s">
        <v>26</v>
      </c>
      <c r="I130" s="2" t="s">
        <v>57</v>
      </c>
      <c r="J130" s="2" t="s">
        <v>104</v>
      </c>
      <c r="K130" s="2" t="s">
        <v>59</v>
      </c>
      <c r="L130" s="2" t="s">
        <v>60</v>
      </c>
      <c r="M130" s="2" t="n">
        <v>249</v>
      </c>
      <c r="N130" s="3" t="n">
        <v>25</v>
      </c>
      <c r="O130" s="4" t="n">
        <v>23.4</v>
      </c>
      <c r="P130" s="5" t="n">
        <v>0</v>
      </c>
      <c r="Q130" s="2" t="n">
        <v>0</v>
      </c>
      <c r="R130" s="4" t="n">
        <f aca="false">M130*O130</f>
        <v>5826.6</v>
      </c>
      <c r="S130" s="4" t="n">
        <f aca="false">R130*(P130/100)</f>
        <v>0</v>
      </c>
      <c r="T130" s="4" t="n">
        <f aca="false">R130-S130</f>
        <v>5826.6</v>
      </c>
    </row>
    <row r="131" customFormat="false" ht="15" hidden="false" customHeight="false" outlineLevel="0" collapsed="false">
      <c r="A131" s="2" t="n">
        <v>800130</v>
      </c>
      <c r="B131" s="2" t="s">
        <v>115</v>
      </c>
      <c r="C131" s="2" t="s">
        <v>32</v>
      </c>
      <c r="D131" s="2" t="s">
        <v>33</v>
      </c>
      <c r="E131" s="2" t="s">
        <v>34</v>
      </c>
      <c r="F131" s="2" t="s">
        <v>35</v>
      </c>
      <c r="G131" s="2" t="s">
        <v>90</v>
      </c>
      <c r="H131" s="2" t="s">
        <v>26</v>
      </c>
      <c r="I131" s="2" t="s">
        <v>57</v>
      </c>
      <c r="J131" s="2" t="s">
        <v>104</v>
      </c>
      <c r="K131" s="2" t="s">
        <v>59</v>
      </c>
      <c r="L131" s="2" t="s">
        <v>107</v>
      </c>
      <c r="M131" s="2" t="n">
        <v>141</v>
      </c>
      <c r="N131" s="3" t="n">
        <v>25</v>
      </c>
      <c r="O131" s="4" t="n">
        <v>22.3</v>
      </c>
      <c r="P131" s="5" t="n">
        <v>0</v>
      </c>
      <c r="Q131" s="2" t="n">
        <v>0</v>
      </c>
      <c r="R131" s="4" t="n">
        <f aca="false">M131*O131</f>
        <v>3144.3</v>
      </c>
      <c r="S131" s="4" t="n">
        <f aca="false">R131*(P131/100)</f>
        <v>0</v>
      </c>
      <c r="T131" s="4" t="n">
        <f aca="false">R131-S131</f>
        <v>3144.3</v>
      </c>
    </row>
    <row r="132" customFormat="false" ht="15" hidden="false" customHeight="false" outlineLevel="0" collapsed="false">
      <c r="A132" s="2" t="n">
        <v>800131</v>
      </c>
      <c r="B132" s="2" t="s">
        <v>238</v>
      </c>
      <c r="C132" s="2" t="s">
        <v>41</v>
      </c>
      <c r="D132" s="2" t="s">
        <v>73</v>
      </c>
      <c r="E132" s="2" t="s">
        <v>136</v>
      </c>
      <c r="F132" s="2" t="s">
        <v>51</v>
      </c>
      <c r="G132" s="2" t="s">
        <v>143</v>
      </c>
      <c r="H132" s="2" t="s">
        <v>26</v>
      </c>
      <c r="I132" s="2" t="s">
        <v>37</v>
      </c>
      <c r="J132" s="2" t="s">
        <v>38</v>
      </c>
      <c r="K132" s="2" t="s">
        <v>39</v>
      </c>
      <c r="L132" s="2" t="s">
        <v>30</v>
      </c>
      <c r="M132" s="2" t="n">
        <v>314</v>
      </c>
      <c r="N132" s="3" t="n">
        <v>30</v>
      </c>
      <c r="O132" s="4" t="n">
        <v>26.52</v>
      </c>
      <c r="P132" s="5" t="n">
        <v>0</v>
      </c>
      <c r="Q132" s="2" t="n">
        <v>0</v>
      </c>
      <c r="R132" s="4" t="n">
        <f aca="false">M132*O132</f>
        <v>8327.28</v>
      </c>
      <c r="S132" s="4" t="n">
        <f aca="false">R132*(P132/100)</f>
        <v>0</v>
      </c>
      <c r="T132" s="4" t="n">
        <f aca="false">R132-S132</f>
        <v>8327.28</v>
      </c>
    </row>
    <row r="133" customFormat="false" ht="15" hidden="false" customHeight="false" outlineLevel="0" collapsed="false">
      <c r="A133" s="2" t="n">
        <v>800132</v>
      </c>
      <c r="B133" s="2" t="s">
        <v>239</v>
      </c>
      <c r="C133" s="2" t="s">
        <v>21</v>
      </c>
      <c r="D133" s="2" t="s">
        <v>171</v>
      </c>
      <c r="E133" s="2" t="s">
        <v>192</v>
      </c>
      <c r="F133" s="2" t="s">
        <v>24</v>
      </c>
      <c r="G133" s="2" t="s">
        <v>143</v>
      </c>
      <c r="H133" s="2" t="s">
        <v>26</v>
      </c>
      <c r="I133" s="2" t="s">
        <v>57</v>
      </c>
      <c r="J133" s="2" t="s">
        <v>104</v>
      </c>
      <c r="K133" s="2" t="s">
        <v>59</v>
      </c>
      <c r="L133" s="2" t="s">
        <v>47</v>
      </c>
      <c r="M133" s="2" t="n">
        <v>288</v>
      </c>
      <c r="N133" s="3" t="n">
        <v>25</v>
      </c>
      <c r="O133" s="4" t="n">
        <v>24.66</v>
      </c>
      <c r="P133" s="5" t="n">
        <v>0</v>
      </c>
      <c r="Q133" s="2" t="n">
        <v>3</v>
      </c>
      <c r="R133" s="4" t="n">
        <f aca="false">M133*O133</f>
        <v>7102.08</v>
      </c>
      <c r="S133" s="4" t="n">
        <f aca="false">R133*(P133/100)</f>
        <v>0</v>
      </c>
      <c r="T133" s="4" t="n">
        <f aca="false">R133-S133</f>
        <v>7102.08</v>
      </c>
    </row>
    <row r="134" customFormat="false" ht="15" hidden="false" customHeight="false" outlineLevel="0" collapsed="false">
      <c r="A134" s="2" t="n">
        <v>800133</v>
      </c>
      <c r="B134" s="2" t="s">
        <v>240</v>
      </c>
      <c r="C134" s="2" t="s">
        <v>21</v>
      </c>
      <c r="D134" s="2" t="s">
        <v>101</v>
      </c>
      <c r="E134" s="2" t="s">
        <v>241</v>
      </c>
      <c r="F134" s="2" t="s">
        <v>78</v>
      </c>
      <c r="G134" s="2" t="s">
        <v>62</v>
      </c>
      <c r="H134" s="2" t="s">
        <v>26</v>
      </c>
      <c r="I134" s="2" t="s">
        <v>57</v>
      </c>
      <c r="J134" s="2" t="s">
        <v>58</v>
      </c>
      <c r="K134" s="2" t="s">
        <v>59</v>
      </c>
      <c r="L134" s="2" t="s">
        <v>107</v>
      </c>
      <c r="M134" s="2" t="n">
        <v>402</v>
      </c>
      <c r="N134" s="3" t="n">
        <v>20</v>
      </c>
      <c r="O134" s="4" t="n">
        <v>17.05</v>
      </c>
      <c r="P134" s="5" t="n">
        <v>0</v>
      </c>
      <c r="Q134" s="2" t="n">
        <v>1</v>
      </c>
      <c r="R134" s="4" t="n">
        <f aca="false">M134*O134</f>
        <v>6854.1</v>
      </c>
      <c r="S134" s="4" t="n">
        <f aca="false">R134*(P134/100)</f>
        <v>0</v>
      </c>
      <c r="T134" s="4" t="n">
        <f aca="false">R134-S134</f>
        <v>6854.1</v>
      </c>
    </row>
    <row r="135" customFormat="false" ht="15" hidden="false" customHeight="false" outlineLevel="0" collapsed="false">
      <c r="A135" s="2" t="n">
        <v>800134</v>
      </c>
      <c r="B135" s="2" t="s">
        <v>224</v>
      </c>
      <c r="C135" s="2" t="s">
        <v>21</v>
      </c>
      <c r="D135" s="2" t="s">
        <v>171</v>
      </c>
      <c r="E135" s="2" t="s">
        <v>192</v>
      </c>
      <c r="F135" s="2" t="s">
        <v>24</v>
      </c>
      <c r="G135" s="2" t="s">
        <v>36</v>
      </c>
      <c r="H135" s="2" t="s">
        <v>26</v>
      </c>
      <c r="I135" s="2" t="s">
        <v>44</v>
      </c>
      <c r="J135" s="2" t="s">
        <v>126</v>
      </c>
      <c r="K135" s="2" t="s">
        <v>71</v>
      </c>
      <c r="L135" s="2" t="s">
        <v>82</v>
      </c>
      <c r="M135" s="2" t="n">
        <v>436</v>
      </c>
      <c r="N135" s="3" t="n">
        <v>20</v>
      </c>
      <c r="O135" s="4" t="n">
        <v>18.8</v>
      </c>
      <c r="P135" s="5" t="n">
        <v>12.5</v>
      </c>
      <c r="Q135" s="2" t="n">
        <v>2</v>
      </c>
      <c r="R135" s="4" t="n">
        <f aca="false">M135*O135</f>
        <v>8196.8</v>
      </c>
      <c r="S135" s="4" t="n">
        <f aca="false">R135*(P135/100)</f>
        <v>1024.6</v>
      </c>
      <c r="T135" s="4" t="n">
        <f aca="false">R135-S135</f>
        <v>7172.2</v>
      </c>
    </row>
    <row r="136" customFormat="false" ht="15" hidden="false" customHeight="false" outlineLevel="0" collapsed="false">
      <c r="A136" s="2" t="n">
        <v>800135</v>
      </c>
      <c r="B136" s="2" t="s">
        <v>242</v>
      </c>
      <c r="C136" s="2" t="s">
        <v>32</v>
      </c>
      <c r="D136" s="2" t="s">
        <v>33</v>
      </c>
      <c r="E136" s="2" t="s">
        <v>141</v>
      </c>
      <c r="F136" s="2" t="s">
        <v>51</v>
      </c>
      <c r="G136" s="2" t="s">
        <v>36</v>
      </c>
      <c r="H136" s="2" t="s">
        <v>26</v>
      </c>
      <c r="I136" s="2" t="s">
        <v>44</v>
      </c>
      <c r="J136" s="2" t="s">
        <v>45</v>
      </c>
      <c r="K136" s="2" t="s">
        <v>46</v>
      </c>
      <c r="L136" s="2" t="s">
        <v>132</v>
      </c>
      <c r="M136" s="2" t="n">
        <v>425</v>
      </c>
      <c r="N136" s="3" t="n">
        <v>20</v>
      </c>
      <c r="O136" s="4" t="n">
        <v>17.56</v>
      </c>
      <c r="P136" s="5" t="n">
        <v>0</v>
      </c>
      <c r="Q136" s="2" t="n">
        <v>1</v>
      </c>
      <c r="R136" s="4" t="n">
        <f aca="false">M136*O136</f>
        <v>7463</v>
      </c>
      <c r="S136" s="4" t="n">
        <f aca="false">R136*(P136/100)</f>
        <v>0</v>
      </c>
      <c r="T136" s="4" t="n">
        <f aca="false">R136-S136</f>
        <v>7463</v>
      </c>
    </row>
    <row r="137" customFormat="false" ht="15" hidden="false" customHeight="false" outlineLevel="0" collapsed="false">
      <c r="A137" s="2" t="n">
        <v>800136</v>
      </c>
      <c r="B137" s="2" t="s">
        <v>186</v>
      </c>
      <c r="C137" s="2" t="s">
        <v>41</v>
      </c>
      <c r="D137" s="2" t="s">
        <v>49</v>
      </c>
      <c r="E137" s="2" t="s">
        <v>80</v>
      </c>
      <c r="F137" s="2" t="s">
        <v>87</v>
      </c>
      <c r="G137" s="2" t="s">
        <v>36</v>
      </c>
      <c r="H137" s="2" t="s">
        <v>26</v>
      </c>
      <c r="I137" s="2" t="s">
        <v>27</v>
      </c>
      <c r="J137" s="2" t="s">
        <v>91</v>
      </c>
      <c r="K137" s="2" t="s">
        <v>29</v>
      </c>
      <c r="L137" s="2" t="s">
        <v>82</v>
      </c>
      <c r="M137" s="2" t="n">
        <v>461</v>
      </c>
      <c r="N137" s="3" t="n">
        <v>35</v>
      </c>
      <c r="O137" s="4" t="n">
        <v>33.58</v>
      </c>
      <c r="P137" s="5" t="n">
        <v>7.5</v>
      </c>
      <c r="Q137" s="2" t="n">
        <v>0</v>
      </c>
      <c r="R137" s="4" t="n">
        <f aca="false">M137*O137</f>
        <v>15480.38</v>
      </c>
      <c r="S137" s="4" t="n">
        <f aca="false">R137*(P137/100)</f>
        <v>1161.0285</v>
      </c>
      <c r="T137" s="4" t="n">
        <f aca="false">R137-S137</f>
        <v>14319.3515</v>
      </c>
    </row>
    <row r="138" customFormat="false" ht="15" hidden="false" customHeight="false" outlineLevel="0" collapsed="false">
      <c r="A138" s="2" t="n">
        <v>800137</v>
      </c>
      <c r="B138" s="2" t="s">
        <v>243</v>
      </c>
      <c r="C138" s="2" t="s">
        <v>84</v>
      </c>
      <c r="D138" s="2" t="s">
        <v>164</v>
      </c>
      <c r="E138" s="2" t="s">
        <v>165</v>
      </c>
      <c r="F138" s="2" t="s">
        <v>51</v>
      </c>
      <c r="G138" s="2" t="s">
        <v>103</v>
      </c>
      <c r="H138" s="2" t="s">
        <v>26</v>
      </c>
      <c r="I138" s="2" t="s">
        <v>44</v>
      </c>
      <c r="J138" s="2" t="s">
        <v>45</v>
      </c>
      <c r="K138" s="2" t="s">
        <v>46</v>
      </c>
      <c r="L138" s="2" t="s">
        <v>60</v>
      </c>
      <c r="M138" s="2" t="n">
        <v>374</v>
      </c>
      <c r="N138" s="3" t="n">
        <v>20</v>
      </c>
      <c r="O138" s="4" t="n">
        <v>18.39</v>
      </c>
      <c r="P138" s="5" t="n">
        <v>5</v>
      </c>
      <c r="Q138" s="2" t="n">
        <v>0</v>
      </c>
      <c r="R138" s="4" t="n">
        <f aca="false">M138*O138</f>
        <v>6877.86</v>
      </c>
      <c r="S138" s="4" t="n">
        <f aca="false">R138*(P138/100)</f>
        <v>343.893</v>
      </c>
      <c r="T138" s="4" t="n">
        <f aca="false">R138-S138</f>
        <v>6533.967</v>
      </c>
    </row>
    <row r="139" customFormat="false" ht="15" hidden="false" customHeight="false" outlineLevel="0" collapsed="false">
      <c r="A139" s="2" t="n">
        <v>800138</v>
      </c>
      <c r="B139" s="2" t="s">
        <v>244</v>
      </c>
      <c r="C139" s="2" t="s">
        <v>21</v>
      </c>
      <c r="D139" s="2" t="s">
        <v>101</v>
      </c>
      <c r="E139" s="2" t="s">
        <v>145</v>
      </c>
      <c r="F139" s="2" t="s">
        <v>35</v>
      </c>
      <c r="G139" s="2" t="s">
        <v>68</v>
      </c>
      <c r="H139" s="2" t="s">
        <v>26</v>
      </c>
      <c r="I139" s="2" t="s">
        <v>44</v>
      </c>
      <c r="J139" s="2" t="s">
        <v>45</v>
      </c>
      <c r="K139" s="2" t="s">
        <v>46</v>
      </c>
      <c r="L139" s="2" t="s">
        <v>47</v>
      </c>
      <c r="M139" s="2" t="n">
        <v>187</v>
      </c>
      <c r="N139" s="3" t="n">
        <v>20</v>
      </c>
      <c r="O139" s="4" t="n">
        <v>18.85</v>
      </c>
      <c r="P139" s="5" t="n">
        <v>5</v>
      </c>
      <c r="Q139" s="2" t="n">
        <v>2</v>
      </c>
      <c r="R139" s="4" t="n">
        <f aca="false">M139*O139</f>
        <v>3524.95</v>
      </c>
      <c r="S139" s="4" t="n">
        <f aca="false">R139*(P139/100)</f>
        <v>176.2475</v>
      </c>
      <c r="T139" s="4" t="n">
        <f aca="false">R139-S139</f>
        <v>3348.7025</v>
      </c>
    </row>
    <row r="140" customFormat="false" ht="15" hidden="false" customHeight="false" outlineLevel="0" collapsed="false">
      <c r="A140" s="2" t="n">
        <v>800139</v>
      </c>
      <c r="B140" s="2" t="s">
        <v>245</v>
      </c>
      <c r="C140" s="2" t="s">
        <v>41</v>
      </c>
      <c r="D140" s="2" t="s">
        <v>73</v>
      </c>
      <c r="E140" s="2" t="s">
        <v>167</v>
      </c>
      <c r="F140" s="2" t="s">
        <v>51</v>
      </c>
      <c r="G140" s="2" t="s">
        <v>137</v>
      </c>
      <c r="H140" s="2" t="s">
        <v>26</v>
      </c>
      <c r="I140" s="2" t="s">
        <v>57</v>
      </c>
      <c r="J140" s="2" t="s">
        <v>104</v>
      </c>
      <c r="K140" s="2" t="s">
        <v>59</v>
      </c>
      <c r="L140" s="2" t="s">
        <v>82</v>
      </c>
      <c r="M140" s="2" t="n">
        <v>334</v>
      </c>
      <c r="N140" s="3" t="n">
        <v>25</v>
      </c>
      <c r="O140" s="4" t="n">
        <v>24.74</v>
      </c>
      <c r="P140" s="5" t="n">
        <v>5</v>
      </c>
      <c r="Q140" s="2" t="n">
        <v>0</v>
      </c>
      <c r="R140" s="4" t="n">
        <f aca="false">M140*O140</f>
        <v>8263.16</v>
      </c>
      <c r="S140" s="4" t="n">
        <f aca="false">R140*(P140/100)</f>
        <v>413.158</v>
      </c>
      <c r="T140" s="4" t="n">
        <f aca="false">R140-S140</f>
        <v>7850.002</v>
      </c>
    </row>
    <row r="141" customFormat="false" ht="15" hidden="false" customHeight="false" outlineLevel="0" collapsed="false">
      <c r="A141" s="2" t="n">
        <v>800140</v>
      </c>
      <c r="B141" s="2" t="s">
        <v>246</v>
      </c>
      <c r="C141" s="2" t="s">
        <v>41</v>
      </c>
      <c r="D141" s="2" t="s">
        <v>42</v>
      </c>
      <c r="E141" s="2" t="s">
        <v>179</v>
      </c>
      <c r="F141" s="2" t="s">
        <v>24</v>
      </c>
      <c r="G141" s="2" t="s">
        <v>36</v>
      </c>
      <c r="H141" s="2" t="s">
        <v>26</v>
      </c>
      <c r="I141" s="2" t="s">
        <v>27</v>
      </c>
      <c r="J141" s="2" t="s">
        <v>98</v>
      </c>
      <c r="K141" s="2" t="s">
        <v>46</v>
      </c>
      <c r="L141" s="2" t="s">
        <v>132</v>
      </c>
      <c r="M141" s="2" t="n">
        <v>84</v>
      </c>
      <c r="N141" s="3" t="n">
        <v>99</v>
      </c>
      <c r="O141" s="4" t="n">
        <v>85.08</v>
      </c>
      <c r="P141" s="5" t="n">
        <v>7.5</v>
      </c>
      <c r="Q141" s="2" t="n">
        <v>1</v>
      </c>
      <c r="R141" s="4" t="n">
        <f aca="false">M141*O141</f>
        <v>7146.72</v>
      </c>
      <c r="S141" s="4" t="n">
        <f aca="false">R141*(P141/100)</f>
        <v>536.004</v>
      </c>
      <c r="T141" s="4" t="n">
        <f aca="false">R141-S141</f>
        <v>6610.716</v>
      </c>
    </row>
    <row r="142" customFormat="false" ht="15" hidden="false" customHeight="false" outlineLevel="0" collapsed="false">
      <c r="A142" s="2" t="n">
        <v>800141</v>
      </c>
      <c r="B142" s="2" t="s">
        <v>247</v>
      </c>
      <c r="C142" s="2" t="s">
        <v>21</v>
      </c>
      <c r="D142" s="2" t="s">
        <v>171</v>
      </c>
      <c r="E142" s="2" t="s">
        <v>172</v>
      </c>
      <c r="F142" s="2" t="s">
        <v>51</v>
      </c>
      <c r="G142" s="2" t="s">
        <v>137</v>
      </c>
      <c r="H142" s="2" t="s">
        <v>26</v>
      </c>
      <c r="I142" s="2" t="s">
        <v>44</v>
      </c>
      <c r="J142" s="2" t="s">
        <v>45</v>
      </c>
      <c r="K142" s="2" t="s">
        <v>111</v>
      </c>
      <c r="L142" s="2" t="s">
        <v>47</v>
      </c>
      <c r="M142" s="2" t="n">
        <v>313</v>
      </c>
      <c r="N142" s="3" t="n">
        <v>10</v>
      </c>
      <c r="O142" s="4" t="n">
        <v>8.69</v>
      </c>
      <c r="P142" s="5" t="n">
        <v>7.5</v>
      </c>
      <c r="Q142" s="2" t="n">
        <v>1</v>
      </c>
      <c r="R142" s="4" t="n">
        <f aca="false">M142*O142</f>
        <v>2719.97</v>
      </c>
      <c r="S142" s="4" t="n">
        <f aca="false">R142*(P142/100)</f>
        <v>203.99775</v>
      </c>
      <c r="T142" s="4" t="n">
        <f aca="false">R142-S142</f>
        <v>2515.97225</v>
      </c>
    </row>
    <row r="143" customFormat="false" ht="15" hidden="false" customHeight="false" outlineLevel="0" collapsed="false">
      <c r="A143" s="2" t="n">
        <v>800142</v>
      </c>
      <c r="B143" s="2" t="s">
        <v>248</v>
      </c>
      <c r="C143" s="2" t="s">
        <v>84</v>
      </c>
      <c r="D143" s="2" t="s">
        <v>85</v>
      </c>
      <c r="E143" s="2" t="s">
        <v>86</v>
      </c>
      <c r="F143" s="2" t="s">
        <v>78</v>
      </c>
      <c r="G143" s="2" t="s">
        <v>125</v>
      </c>
      <c r="H143" s="2" t="s">
        <v>26</v>
      </c>
      <c r="I143" s="2" t="s">
        <v>27</v>
      </c>
      <c r="J143" s="2" t="s">
        <v>98</v>
      </c>
      <c r="K143" s="2" t="s">
        <v>46</v>
      </c>
      <c r="L143" s="2" t="s">
        <v>30</v>
      </c>
      <c r="M143" s="2" t="n">
        <v>218</v>
      </c>
      <c r="N143" s="3" t="n">
        <v>99</v>
      </c>
      <c r="O143" s="4" t="n">
        <v>96.81</v>
      </c>
      <c r="P143" s="5" t="n">
        <v>0</v>
      </c>
      <c r="Q143" s="2" t="n">
        <v>0</v>
      </c>
      <c r="R143" s="4" t="n">
        <f aca="false">M143*O143</f>
        <v>21104.58</v>
      </c>
      <c r="S143" s="4" t="n">
        <f aca="false">R143*(P143/100)</f>
        <v>0</v>
      </c>
      <c r="T143" s="4" t="n">
        <f aca="false">R143-S143</f>
        <v>21104.58</v>
      </c>
    </row>
    <row r="144" customFormat="false" ht="15" hidden="false" customHeight="false" outlineLevel="0" collapsed="false">
      <c r="A144" s="2" t="n">
        <v>800143</v>
      </c>
      <c r="B144" s="2" t="s">
        <v>249</v>
      </c>
      <c r="C144" s="2" t="s">
        <v>41</v>
      </c>
      <c r="D144" s="2" t="s">
        <v>73</v>
      </c>
      <c r="E144" s="2" t="s">
        <v>167</v>
      </c>
      <c r="F144" s="2" t="s">
        <v>87</v>
      </c>
      <c r="G144" s="2" t="s">
        <v>125</v>
      </c>
      <c r="H144" s="2" t="s">
        <v>26</v>
      </c>
      <c r="I144" s="2" t="s">
        <v>57</v>
      </c>
      <c r="J144" s="2" t="s">
        <v>104</v>
      </c>
      <c r="K144" s="2" t="s">
        <v>59</v>
      </c>
      <c r="L144" s="2" t="s">
        <v>47</v>
      </c>
      <c r="M144" s="2" t="n">
        <v>89</v>
      </c>
      <c r="N144" s="3" t="n">
        <v>25</v>
      </c>
      <c r="O144" s="4" t="n">
        <v>24.23</v>
      </c>
      <c r="P144" s="5" t="n">
        <v>12.5</v>
      </c>
      <c r="Q144" s="2" t="n">
        <v>0</v>
      </c>
      <c r="R144" s="4" t="n">
        <f aca="false">M144*O144</f>
        <v>2156.47</v>
      </c>
      <c r="S144" s="4" t="n">
        <f aca="false">R144*(P144/100)</f>
        <v>269.55875</v>
      </c>
      <c r="T144" s="4" t="n">
        <f aca="false">R144-S144</f>
        <v>1886.91125</v>
      </c>
    </row>
    <row r="145" customFormat="false" ht="15" hidden="false" customHeight="false" outlineLevel="0" collapsed="false">
      <c r="A145" s="2" t="n">
        <v>800144</v>
      </c>
      <c r="B145" s="2" t="s">
        <v>112</v>
      </c>
      <c r="C145" s="2" t="s">
        <v>21</v>
      </c>
      <c r="D145" s="2" t="s">
        <v>147</v>
      </c>
      <c r="E145" s="2" t="s">
        <v>148</v>
      </c>
      <c r="F145" s="2" t="s">
        <v>87</v>
      </c>
      <c r="G145" s="2" t="s">
        <v>125</v>
      </c>
      <c r="H145" s="2" t="s">
        <v>26</v>
      </c>
      <c r="I145" s="2" t="s">
        <v>69</v>
      </c>
      <c r="J145" s="2" t="s">
        <v>81</v>
      </c>
      <c r="K145" s="2" t="s">
        <v>39</v>
      </c>
      <c r="L145" s="2" t="s">
        <v>107</v>
      </c>
      <c r="M145" s="2" t="n">
        <v>455</v>
      </c>
      <c r="N145" s="3" t="n">
        <v>20</v>
      </c>
      <c r="O145" s="4" t="n">
        <v>17.44</v>
      </c>
      <c r="P145" s="5" t="n">
        <v>0</v>
      </c>
      <c r="Q145" s="2" t="n">
        <v>1</v>
      </c>
      <c r="R145" s="4" t="n">
        <f aca="false">M145*O145</f>
        <v>7935.2</v>
      </c>
      <c r="S145" s="4" t="n">
        <f aca="false">R145*(P145/100)</f>
        <v>0</v>
      </c>
      <c r="T145" s="4" t="n">
        <f aca="false">R145-S145</f>
        <v>7935.2</v>
      </c>
    </row>
    <row r="146" customFormat="false" ht="15" hidden="false" customHeight="false" outlineLevel="0" collapsed="false">
      <c r="A146" s="2" t="n">
        <v>800145</v>
      </c>
      <c r="B146" s="2" t="s">
        <v>250</v>
      </c>
      <c r="C146" s="2" t="s">
        <v>32</v>
      </c>
      <c r="D146" s="2" t="s">
        <v>66</v>
      </c>
      <c r="E146" s="2" t="s">
        <v>113</v>
      </c>
      <c r="F146" s="2" t="s">
        <v>24</v>
      </c>
      <c r="G146" s="2" t="s">
        <v>25</v>
      </c>
      <c r="H146" s="2" t="s">
        <v>26</v>
      </c>
      <c r="I146" s="2" t="s">
        <v>57</v>
      </c>
      <c r="J146" s="2" t="s">
        <v>104</v>
      </c>
      <c r="K146" s="2" t="s">
        <v>59</v>
      </c>
      <c r="L146" s="2" t="s">
        <v>82</v>
      </c>
      <c r="M146" s="2" t="n">
        <v>303</v>
      </c>
      <c r="N146" s="3" t="n">
        <v>25</v>
      </c>
      <c r="O146" s="4" t="n">
        <v>23.25</v>
      </c>
      <c r="P146" s="5" t="n">
        <v>12.5</v>
      </c>
      <c r="Q146" s="2" t="n">
        <v>3</v>
      </c>
      <c r="R146" s="4" t="n">
        <f aca="false">M146*O146</f>
        <v>7044.75</v>
      </c>
      <c r="S146" s="4" t="n">
        <f aca="false">R146*(P146/100)</f>
        <v>880.59375</v>
      </c>
      <c r="T146" s="4" t="n">
        <f aca="false">R146-S146</f>
        <v>6164.15625</v>
      </c>
    </row>
    <row r="147" customFormat="false" ht="15" hidden="false" customHeight="false" outlineLevel="0" collapsed="false">
      <c r="A147" s="2" t="n">
        <v>800146</v>
      </c>
      <c r="B147" s="2" t="s">
        <v>251</v>
      </c>
      <c r="C147" s="2" t="s">
        <v>21</v>
      </c>
      <c r="D147" s="2" t="s">
        <v>22</v>
      </c>
      <c r="E147" s="2" t="s">
        <v>23</v>
      </c>
      <c r="F147" s="2" t="s">
        <v>51</v>
      </c>
      <c r="G147" s="2" t="s">
        <v>125</v>
      </c>
      <c r="H147" s="2" t="s">
        <v>26</v>
      </c>
      <c r="I147" s="2" t="s">
        <v>57</v>
      </c>
      <c r="J147" s="2" t="s">
        <v>58</v>
      </c>
      <c r="K147" s="2" t="s">
        <v>59</v>
      </c>
      <c r="L147" s="2" t="s">
        <v>161</v>
      </c>
      <c r="M147" s="2" t="n">
        <v>441</v>
      </c>
      <c r="N147" s="3" t="n">
        <v>20</v>
      </c>
      <c r="O147" s="4" t="n">
        <v>18.61</v>
      </c>
      <c r="P147" s="5" t="n">
        <v>0</v>
      </c>
      <c r="Q147" s="2" t="n">
        <v>1</v>
      </c>
      <c r="R147" s="4" t="n">
        <f aca="false">M147*O147</f>
        <v>8207.01</v>
      </c>
      <c r="S147" s="4" t="n">
        <f aca="false">R147*(P147/100)</f>
        <v>0</v>
      </c>
      <c r="T147" s="4" t="n">
        <f aca="false">R147-S147</f>
        <v>8207.01</v>
      </c>
    </row>
    <row r="148" customFormat="false" ht="15" hidden="false" customHeight="false" outlineLevel="0" collapsed="false">
      <c r="A148" s="2" t="n">
        <v>800147</v>
      </c>
      <c r="B148" s="2" t="s">
        <v>189</v>
      </c>
      <c r="C148" s="2" t="s">
        <v>21</v>
      </c>
      <c r="D148" s="2" t="s">
        <v>101</v>
      </c>
      <c r="E148" s="2" t="s">
        <v>241</v>
      </c>
      <c r="F148" s="2" t="s">
        <v>35</v>
      </c>
      <c r="G148" s="2" t="s">
        <v>137</v>
      </c>
      <c r="H148" s="2" t="s">
        <v>26</v>
      </c>
      <c r="I148" s="2" t="s">
        <v>27</v>
      </c>
      <c r="J148" s="2" t="s">
        <v>28</v>
      </c>
      <c r="K148" s="2" t="s">
        <v>63</v>
      </c>
      <c r="L148" s="2" t="s">
        <v>64</v>
      </c>
      <c r="M148" s="2" t="n">
        <v>241</v>
      </c>
      <c r="N148" s="3" t="n">
        <v>50</v>
      </c>
      <c r="O148" s="4" t="n">
        <v>46.02</v>
      </c>
      <c r="P148" s="5" t="n">
        <v>0</v>
      </c>
      <c r="Q148" s="2" t="n">
        <v>0</v>
      </c>
      <c r="R148" s="4" t="n">
        <f aca="false">M148*O148</f>
        <v>11090.82</v>
      </c>
      <c r="S148" s="4" t="n">
        <f aca="false">R148*(P148/100)</f>
        <v>0</v>
      </c>
      <c r="T148" s="4" t="n">
        <f aca="false">R148-S148</f>
        <v>11090.82</v>
      </c>
    </row>
    <row r="149" customFormat="false" ht="15" hidden="false" customHeight="false" outlineLevel="0" collapsed="false">
      <c r="A149" s="2" t="n">
        <v>800148</v>
      </c>
      <c r="B149" s="2" t="s">
        <v>252</v>
      </c>
      <c r="C149" s="2" t="s">
        <v>32</v>
      </c>
      <c r="D149" s="2" t="s">
        <v>55</v>
      </c>
      <c r="E149" s="2" t="s">
        <v>56</v>
      </c>
      <c r="F149" s="2" t="s">
        <v>24</v>
      </c>
      <c r="G149" s="2" t="s">
        <v>137</v>
      </c>
      <c r="H149" s="2" t="s">
        <v>26</v>
      </c>
      <c r="I149" s="2" t="s">
        <v>27</v>
      </c>
      <c r="J149" s="2" t="s">
        <v>91</v>
      </c>
      <c r="K149" s="2" t="s">
        <v>29</v>
      </c>
      <c r="L149" s="2" t="s">
        <v>30</v>
      </c>
      <c r="M149" s="2" t="n">
        <v>478</v>
      </c>
      <c r="N149" s="3" t="n">
        <v>35</v>
      </c>
      <c r="O149" s="4" t="n">
        <v>31.14</v>
      </c>
      <c r="P149" s="5" t="n">
        <v>0</v>
      </c>
      <c r="Q149" s="2" t="n">
        <v>0</v>
      </c>
      <c r="R149" s="4" t="n">
        <f aca="false">M149*O149</f>
        <v>14884.92</v>
      </c>
      <c r="S149" s="4" t="n">
        <f aca="false">R149*(P149/100)</f>
        <v>0</v>
      </c>
      <c r="T149" s="4" t="n">
        <f aca="false">R149-S149</f>
        <v>14884.92</v>
      </c>
    </row>
    <row r="150" customFormat="false" ht="15" hidden="false" customHeight="false" outlineLevel="0" collapsed="false">
      <c r="A150" s="2" t="n">
        <v>800149</v>
      </c>
      <c r="B150" s="2" t="s">
        <v>175</v>
      </c>
      <c r="C150" s="2" t="s">
        <v>84</v>
      </c>
      <c r="D150" s="2" t="s">
        <v>85</v>
      </c>
      <c r="E150" s="2" t="s">
        <v>124</v>
      </c>
      <c r="F150" s="2" t="s">
        <v>35</v>
      </c>
      <c r="G150" s="2" t="s">
        <v>90</v>
      </c>
      <c r="H150" s="2" t="s">
        <v>26</v>
      </c>
      <c r="I150" s="2" t="s">
        <v>69</v>
      </c>
      <c r="J150" s="2" t="s">
        <v>70</v>
      </c>
      <c r="K150" s="2" t="s">
        <v>39</v>
      </c>
      <c r="L150" s="2" t="s">
        <v>53</v>
      </c>
      <c r="M150" s="2" t="n">
        <v>317</v>
      </c>
      <c r="N150" s="3" t="n">
        <v>20</v>
      </c>
      <c r="O150" s="4" t="n">
        <v>17.43</v>
      </c>
      <c r="P150" s="5" t="n">
        <v>7.5</v>
      </c>
      <c r="Q150" s="2" t="n">
        <v>0</v>
      </c>
      <c r="R150" s="4" t="n">
        <f aca="false">M150*O150</f>
        <v>5525.31</v>
      </c>
      <c r="S150" s="4" t="n">
        <f aca="false">R150*(P150/100)</f>
        <v>414.39825</v>
      </c>
      <c r="T150" s="4" t="n">
        <f aca="false">R150-S150</f>
        <v>5110.91175</v>
      </c>
    </row>
    <row r="151" customFormat="false" ht="15" hidden="false" customHeight="false" outlineLevel="0" collapsed="false">
      <c r="A151" s="2" t="n">
        <v>800150</v>
      </c>
      <c r="B151" s="2" t="s">
        <v>253</v>
      </c>
      <c r="C151" s="2" t="s">
        <v>21</v>
      </c>
      <c r="D151" s="2" t="s">
        <v>22</v>
      </c>
      <c r="E151" s="2" t="s">
        <v>23</v>
      </c>
      <c r="F151" s="2" t="s">
        <v>24</v>
      </c>
      <c r="G151" s="2" t="s">
        <v>143</v>
      </c>
      <c r="H151" s="2" t="s">
        <v>26</v>
      </c>
      <c r="I151" s="2" t="s">
        <v>57</v>
      </c>
      <c r="J151" s="2" t="s">
        <v>104</v>
      </c>
      <c r="K151" s="2" t="s">
        <v>59</v>
      </c>
      <c r="L151" s="2" t="s">
        <v>60</v>
      </c>
      <c r="M151" s="2" t="n">
        <v>475</v>
      </c>
      <c r="N151" s="3" t="n">
        <v>25</v>
      </c>
      <c r="O151" s="4" t="n">
        <v>23.45</v>
      </c>
      <c r="P151" s="5" t="n">
        <v>5</v>
      </c>
      <c r="Q151" s="2" t="n">
        <v>0</v>
      </c>
      <c r="R151" s="4" t="n">
        <f aca="false">M151*O151</f>
        <v>11138.75</v>
      </c>
      <c r="S151" s="4" t="n">
        <f aca="false">R151*(P151/100)</f>
        <v>556.9375</v>
      </c>
      <c r="T151" s="4" t="n">
        <f aca="false">R151-S151</f>
        <v>10581.8125</v>
      </c>
    </row>
    <row r="152" customFormat="false" ht="15" hidden="false" customHeight="false" outlineLevel="0" collapsed="false">
      <c r="A152" s="2" t="n">
        <v>800151</v>
      </c>
      <c r="B152" s="2" t="s">
        <v>142</v>
      </c>
      <c r="C152" s="2" t="s">
        <v>32</v>
      </c>
      <c r="D152" s="2" t="s">
        <v>151</v>
      </c>
      <c r="E152" s="2" t="s">
        <v>152</v>
      </c>
      <c r="F152" s="2" t="s">
        <v>51</v>
      </c>
      <c r="G152" s="2" t="s">
        <v>52</v>
      </c>
      <c r="H152" s="2" t="s">
        <v>26</v>
      </c>
      <c r="I152" s="2" t="s">
        <v>69</v>
      </c>
      <c r="J152" s="2" t="s">
        <v>70</v>
      </c>
      <c r="K152" s="2" t="s">
        <v>39</v>
      </c>
      <c r="L152" s="2" t="s">
        <v>60</v>
      </c>
      <c r="M152" s="2" t="n">
        <v>232</v>
      </c>
      <c r="N152" s="3" t="n">
        <v>20</v>
      </c>
      <c r="O152" s="4" t="n">
        <v>18.36</v>
      </c>
      <c r="P152" s="5" t="n">
        <v>2</v>
      </c>
      <c r="Q152" s="2" t="n">
        <v>1</v>
      </c>
      <c r="R152" s="4" t="n">
        <f aca="false">M152*O152</f>
        <v>4259.52</v>
      </c>
      <c r="S152" s="4" t="n">
        <f aca="false">R152*(P152/100)</f>
        <v>85.1904</v>
      </c>
      <c r="T152" s="4" t="n">
        <f aca="false">R152-S152</f>
        <v>4174.3296</v>
      </c>
    </row>
    <row r="153" customFormat="false" ht="15" hidden="false" customHeight="false" outlineLevel="0" collapsed="false">
      <c r="A153" s="2" t="n">
        <v>800152</v>
      </c>
      <c r="B153" s="2" t="s">
        <v>254</v>
      </c>
      <c r="C153" s="2" t="s">
        <v>32</v>
      </c>
      <c r="D153" s="2" t="s">
        <v>55</v>
      </c>
      <c r="E153" s="2" t="s">
        <v>93</v>
      </c>
      <c r="F153" s="2" t="s">
        <v>87</v>
      </c>
      <c r="G153" s="2" t="s">
        <v>103</v>
      </c>
      <c r="H153" s="2" t="s">
        <v>26</v>
      </c>
      <c r="I153" s="2" t="s">
        <v>27</v>
      </c>
      <c r="J153" s="2" t="s">
        <v>91</v>
      </c>
      <c r="K153" s="2" t="s">
        <v>29</v>
      </c>
      <c r="L153" s="2" t="s">
        <v>30</v>
      </c>
      <c r="M153" s="2" t="n">
        <v>307</v>
      </c>
      <c r="N153" s="3" t="n">
        <v>35</v>
      </c>
      <c r="O153" s="4" t="n">
        <v>30.27</v>
      </c>
      <c r="P153" s="5" t="n">
        <v>2</v>
      </c>
      <c r="Q153" s="2" t="n">
        <v>2</v>
      </c>
      <c r="R153" s="4" t="n">
        <f aca="false">M153*O153</f>
        <v>9292.89</v>
      </c>
      <c r="S153" s="4" t="n">
        <f aca="false">R153*(P153/100)</f>
        <v>185.8578</v>
      </c>
      <c r="T153" s="4" t="n">
        <f aca="false">R153-S153</f>
        <v>9107.0322</v>
      </c>
    </row>
    <row r="154" customFormat="false" ht="15" hidden="false" customHeight="false" outlineLevel="0" collapsed="false">
      <c r="A154" s="2" t="n">
        <v>800153</v>
      </c>
      <c r="B154" s="2" t="s">
        <v>255</v>
      </c>
      <c r="C154" s="2" t="s">
        <v>84</v>
      </c>
      <c r="D154" s="2" t="s">
        <v>164</v>
      </c>
      <c r="E154" s="2" t="s">
        <v>211</v>
      </c>
      <c r="F154" s="2" t="s">
        <v>24</v>
      </c>
      <c r="G154" s="2" t="s">
        <v>52</v>
      </c>
      <c r="H154" s="2" t="s">
        <v>26</v>
      </c>
      <c r="I154" s="2" t="s">
        <v>69</v>
      </c>
      <c r="J154" s="2" t="s">
        <v>81</v>
      </c>
      <c r="K154" s="2" t="s">
        <v>39</v>
      </c>
      <c r="L154" s="2" t="s">
        <v>161</v>
      </c>
      <c r="M154" s="2" t="n">
        <v>462</v>
      </c>
      <c r="N154" s="3" t="n">
        <v>20</v>
      </c>
      <c r="O154" s="4" t="n">
        <v>18.72</v>
      </c>
      <c r="P154" s="5" t="n">
        <v>2</v>
      </c>
      <c r="Q154" s="2" t="n">
        <v>0</v>
      </c>
      <c r="R154" s="4" t="n">
        <f aca="false">M154*O154</f>
        <v>8648.64</v>
      </c>
      <c r="S154" s="4" t="n">
        <f aca="false">R154*(P154/100)</f>
        <v>172.9728</v>
      </c>
      <c r="T154" s="4" t="n">
        <f aca="false">R154-S154</f>
        <v>8475.6672</v>
      </c>
    </row>
    <row r="155" customFormat="false" ht="15" hidden="false" customHeight="false" outlineLevel="0" collapsed="false">
      <c r="A155" s="2" t="n">
        <v>800154</v>
      </c>
      <c r="B155" s="2" t="s">
        <v>256</v>
      </c>
      <c r="C155" s="2" t="s">
        <v>84</v>
      </c>
      <c r="D155" s="2" t="s">
        <v>85</v>
      </c>
      <c r="E155" s="2" t="s">
        <v>86</v>
      </c>
      <c r="F155" s="2" t="s">
        <v>51</v>
      </c>
      <c r="G155" s="2" t="s">
        <v>90</v>
      </c>
      <c r="H155" s="2" t="s">
        <v>26</v>
      </c>
      <c r="I155" s="2" t="s">
        <v>57</v>
      </c>
      <c r="J155" s="2" t="s">
        <v>58</v>
      </c>
      <c r="K155" s="2" t="s">
        <v>59</v>
      </c>
      <c r="L155" s="2" t="s">
        <v>107</v>
      </c>
      <c r="M155" s="2" t="n">
        <v>274</v>
      </c>
      <c r="N155" s="3" t="n">
        <v>20</v>
      </c>
      <c r="O155" s="4" t="n">
        <v>17.06</v>
      </c>
      <c r="P155" s="5" t="n">
        <v>10</v>
      </c>
      <c r="Q155" s="2" t="n">
        <v>3</v>
      </c>
      <c r="R155" s="4" t="n">
        <f aca="false">M155*O155</f>
        <v>4674.44</v>
      </c>
      <c r="S155" s="4" t="n">
        <f aca="false">R155*(P155/100)</f>
        <v>467.444</v>
      </c>
      <c r="T155" s="4" t="n">
        <f aca="false">R155-S155</f>
        <v>4206.996</v>
      </c>
    </row>
    <row r="156" customFormat="false" ht="15" hidden="false" customHeight="false" outlineLevel="0" collapsed="false">
      <c r="A156" s="2" t="n">
        <v>800155</v>
      </c>
      <c r="B156" s="2" t="s">
        <v>257</v>
      </c>
      <c r="C156" s="2" t="s">
        <v>32</v>
      </c>
      <c r="D156" s="2" t="s">
        <v>33</v>
      </c>
      <c r="E156" s="2" t="s">
        <v>34</v>
      </c>
      <c r="F156" s="2" t="s">
        <v>87</v>
      </c>
      <c r="G156" s="2" t="s">
        <v>36</v>
      </c>
      <c r="H156" s="2" t="s">
        <v>26</v>
      </c>
      <c r="I156" s="2" t="s">
        <v>69</v>
      </c>
      <c r="J156" s="2" t="s">
        <v>81</v>
      </c>
      <c r="K156" s="2" t="s">
        <v>39</v>
      </c>
      <c r="L156" s="2" t="s">
        <v>60</v>
      </c>
      <c r="M156" s="2" t="n">
        <v>325</v>
      </c>
      <c r="N156" s="3" t="n">
        <v>20</v>
      </c>
      <c r="O156" s="4" t="n">
        <v>19.47</v>
      </c>
      <c r="P156" s="5" t="n">
        <v>12.5</v>
      </c>
      <c r="Q156" s="2" t="n">
        <v>0</v>
      </c>
      <c r="R156" s="4" t="n">
        <f aca="false">M156*O156</f>
        <v>6327.75</v>
      </c>
      <c r="S156" s="4" t="n">
        <f aca="false">R156*(P156/100)</f>
        <v>790.96875</v>
      </c>
      <c r="T156" s="4" t="n">
        <f aca="false">R156-S156</f>
        <v>5536.78125</v>
      </c>
    </row>
    <row r="157" customFormat="false" ht="15" hidden="false" customHeight="false" outlineLevel="0" collapsed="false">
      <c r="A157" s="2" t="n">
        <v>800156</v>
      </c>
      <c r="B157" s="2" t="s">
        <v>258</v>
      </c>
      <c r="C157" s="2" t="s">
        <v>21</v>
      </c>
      <c r="D157" s="2" t="s">
        <v>22</v>
      </c>
      <c r="E157" s="2" t="s">
        <v>23</v>
      </c>
      <c r="F157" s="2" t="s">
        <v>24</v>
      </c>
      <c r="G157" s="2" t="s">
        <v>68</v>
      </c>
      <c r="H157" s="2" t="s">
        <v>26</v>
      </c>
      <c r="I157" s="2" t="s">
        <v>44</v>
      </c>
      <c r="J157" s="2" t="s">
        <v>45</v>
      </c>
      <c r="K157" s="2" t="s">
        <v>111</v>
      </c>
      <c r="L157" s="2" t="s">
        <v>82</v>
      </c>
      <c r="M157" s="2" t="n">
        <v>43</v>
      </c>
      <c r="N157" s="3" t="n">
        <v>10</v>
      </c>
      <c r="O157" s="4" t="n">
        <v>9.06</v>
      </c>
      <c r="P157" s="5" t="n">
        <v>2</v>
      </c>
      <c r="Q157" s="2" t="n">
        <v>1</v>
      </c>
      <c r="R157" s="4" t="n">
        <f aca="false">M157*O157</f>
        <v>389.58</v>
      </c>
      <c r="S157" s="4" t="n">
        <f aca="false">R157*(P157/100)</f>
        <v>7.7916</v>
      </c>
      <c r="T157" s="4" t="n">
        <f aca="false">R157-S157</f>
        <v>381.7884</v>
      </c>
    </row>
    <row r="158" customFormat="false" ht="15" hidden="false" customHeight="false" outlineLevel="0" collapsed="false">
      <c r="A158" s="2" t="n">
        <v>800157</v>
      </c>
      <c r="B158" s="2" t="s">
        <v>259</v>
      </c>
      <c r="C158" s="2" t="s">
        <v>84</v>
      </c>
      <c r="D158" s="2" t="s">
        <v>128</v>
      </c>
      <c r="E158" s="2" t="s">
        <v>199</v>
      </c>
      <c r="F158" s="2" t="s">
        <v>35</v>
      </c>
      <c r="G158" s="2" t="s">
        <v>94</v>
      </c>
      <c r="H158" s="2" t="s">
        <v>26</v>
      </c>
      <c r="I158" s="2" t="s">
        <v>37</v>
      </c>
      <c r="J158" s="2" t="s">
        <v>38</v>
      </c>
      <c r="K158" s="2" t="s">
        <v>39</v>
      </c>
      <c r="L158" s="2" t="s">
        <v>53</v>
      </c>
      <c r="M158" s="2" t="n">
        <v>368</v>
      </c>
      <c r="N158" s="3" t="n">
        <v>30</v>
      </c>
      <c r="O158" s="4" t="n">
        <v>28.07</v>
      </c>
      <c r="P158" s="5" t="n">
        <v>0</v>
      </c>
      <c r="Q158" s="2" t="n">
        <v>0</v>
      </c>
      <c r="R158" s="4" t="n">
        <f aca="false">M158*O158</f>
        <v>10329.76</v>
      </c>
      <c r="S158" s="4" t="n">
        <f aca="false">R158*(P158/100)</f>
        <v>0</v>
      </c>
      <c r="T158" s="4" t="n">
        <f aca="false">R158-S158</f>
        <v>10329.76</v>
      </c>
    </row>
    <row r="159" customFormat="false" ht="15" hidden="false" customHeight="false" outlineLevel="0" collapsed="false">
      <c r="A159" s="2" t="n">
        <v>800158</v>
      </c>
      <c r="B159" s="2" t="s">
        <v>260</v>
      </c>
      <c r="C159" s="2" t="s">
        <v>84</v>
      </c>
      <c r="D159" s="2" t="s">
        <v>119</v>
      </c>
      <c r="E159" s="2" t="s">
        <v>201</v>
      </c>
      <c r="F159" s="2" t="s">
        <v>24</v>
      </c>
      <c r="G159" s="2" t="s">
        <v>25</v>
      </c>
      <c r="H159" s="2" t="s">
        <v>26</v>
      </c>
      <c r="I159" s="2" t="s">
        <v>37</v>
      </c>
      <c r="J159" s="2" t="s">
        <v>38</v>
      </c>
      <c r="K159" s="2" t="s">
        <v>39</v>
      </c>
      <c r="L159" s="2" t="s">
        <v>30</v>
      </c>
      <c r="M159" s="2" t="n">
        <v>40</v>
      </c>
      <c r="N159" s="3" t="n">
        <v>30</v>
      </c>
      <c r="O159" s="4" t="n">
        <v>25.69</v>
      </c>
      <c r="P159" s="5" t="n">
        <v>0</v>
      </c>
      <c r="Q159" s="2" t="n">
        <v>1</v>
      </c>
      <c r="R159" s="4" t="n">
        <f aca="false">M159*O159</f>
        <v>1027.6</v>
      </c>
      <c r="S159" s="4" t="n">
        <f aca="false">R159*(P159/100)</f>
        <v>0</v>
      </c>
      <c r="T159" s="4" t="n">
        <f aca="false">R159-S159</f>
        <v>1027.6</v>
      </c>
    </row>
    <row r="160" customFormat="false" ht="15" hidden="false" customHeight="false" outlineLevel="0" collapsed="false">
      <c r="A160" s="2" t="n">
        <v>800159</v>
      </c>
      <c r="B160" s="2" t="s">
        <v>261</v>
      </c>
      <c r="C160" s="2" t="s">
        <v>41</v>
      </c>
      <c r="D160" s="2" t="s">
        <v>73</v>
      </c>
      <c r="E160" s="2" t="s">
        <v>167</v>
      </c>
      <c r="F160" s="2" t="s">
        <v>35</v>
      </c>
      <c r="G160" s="2" t="s">
        <v>106</v>
      </c>
      <c r="H160" s="2" t="s">
        <v>26</v>
      </c>
      <c r="I160" s="2" t="s">
        <v>44</v>
      </c>
      <c r="J160" s="2" t="s">
        <v>126</v>
      </c>
      <c r="K160" s="2" t="s">
        <v>71</v>
      </c>
      <c r="L160" s="2" t="s">
        <v>82</v>
      </c>
      <c r="M160" s="2" t="n">
        <v>103</v>
      </c>
      <c r="N160" s="3" t="n">
        <v>20</v>
      </c>
      <c r="O160" s="4" t="n">
        <v>18.1</v>
      </c>
      <c r="P160" s="5" t="n">
        <v>5</v>
      </c>
      <c r="Q160" s="2" t="n">
        <v>1</v>
      </c>
      <c r="R160" s="4" t="n">
        <f aca="false">M160*O160</f>
        <v>1864.3</v>
      </c>
      <c r="S160" s="4" t="n">
        <f aca="false">R160*(P160/100)</f>
        <v>93.215</v>
      </c>
      <c r="T160" s="4" t="n">
        <f aca="false">R160-S160</f>
        <v>1771.085</v>
      </c>
    </row>
    <row r="161" customFormat="false" ht="15" hidden="false" customHeight="false" outlineLevel="0" collapsed="false">
      <c r="A161" s="2" t="n">
        <v>800160</v>
      </c>
      <c r="B161" s="2" t="s">
        <v>262</v>
      </c>
      <c r="C161" s="2" t="s">
        <v>41</v>
      </c>
      <c r="D161" s="2" t="s">
        <v>49</v>
      </c>
      <c r="E161" s="2" t="s">
        <v>80</v>
      </c>
      <c r="F161" s="2" t="s">
        <v>51</v>
      </c>
      <c r="G161" s="2" t="s">
        <v>36</v>
      </c>
      <c r="H161" s="2" t="s">
        <v>26</v>
      </c>
      <c r="I161" s="2" t="s">
        <v>44</v>
      </c>
      <c r="J161" s="2" t="s">
        <v>45</v>
      </c>
      <c r="K161" s="2" t="s">
        <v>111</v>
      </c>
      <c r="L161" s="2" t="s">
        <v>47</v>
      </c>
      <c r="M161" s="2" t="n">
        <v>233</v>
      </c>
      <c r="N161" s="3" t="n">
        <v>10</v>
      </c>
      <c r="O161" s="4" t="n">
        <v>9.32</v>
      </c>
      <c r="P161" s="5" t="n">
        <v>0</v>
      </c>
      <c r="Q161" s="2" t="n">
        <v>2</v>
      </c>
      <c r="R161" s="4" t="n">
        <f aca="false">M161*O161</f>
        <v>2171.56</v>
      </c>
      <c r="S161" s="4" t="n">
        <f aca="false">R161*(P161/100)</f>
        <v>0</v>
      </c>
      <c r="T161" s="4" t="n">
        <f aca="false">R161-S161</f>
        <v>2171.56</v>
      </c>
    </row>
    <row r="162" customFormat="false" ht="15" hidden="false" customHeight="false" outlineLevel="0" collapsed="false">
      <c r="A162" s="2" t="n">
        <v>800161</v>
      </c>
      <c r="B162" s="2" t="s">
        <v>263</v>
      </c>
      <c r="C162" s="2" t="s">
        <v>32</v>
      </c>
      <c r="D162" s="2" t="s">
        <v>66</v>
      </c>
      <c r="E162" s="2" t="s">
        <v>67</v>
      </c>
      <c r="F162" s="2" t="s">
        <v>24</v>
      </c>
      <c r="G162" s="2" t="s">
        <v>90</v>
      </c>
      <c r="H162" s="2" t="s">
        <v>26</v>
      </c>
      <c r="I162" s="2" t="s">
        <v>37</v>
      </c>
      <c r="J162" s="2" t="s">
        <v>38</v>
      </c>
      <c r="K162" s="2" t="s">
        <v>39</v>
      </c>
      <c r="L162" s="2" t="s">
        <v>64</v>
      </c>
      <c r="M162" s="2" t="n">
        <v>440</v>
      </c>
      <c r="N162" s="3" t="n">
        <v>30</v>
      </c>
      <c r="O162" s="4" t="n">
        <v>28.36</v>
      </c>
      <c r="P162" s="5" t="n">
        <v>0</v>
      </c>
      <c r="Q162" s="2" t="n">
        <v>0</v>
      </c>
      <c r="R162" s="4" t="n">
        <f aca="false">M162*O162</f>
        <v>12478.4</v>
      </c>
      <c r="S162" s="4" t="n">
        <f aca="false">R162*(P162/100)</f>
        <v>0</v>
      </c>
      <c r="T162" s="4" t="n">
        <f aca="false">R162-S162</f>
        <v>12478.4</v>
      </c>
    </row>
    <row r="163" customFormat="false" ht="15" hidden="false" customHeight="false" outlineLevel="0" collapsed="false">
      <c r="A163" s="2" t="n">
        <v>800162</v>
      </c>
      <c r="B163" s="2" t="s">
        <v>264</v>
      </c>
      <c r="C163" s="2" t="s">
        <v>21</v>
      </c>
      <c r="D163" s="2" t="s">
        <v>101</v>
      </c>
      <c r="E163" s="2" t="s">
        <v>102</v>
      </c>
      <c r="F163" s="2" t="s">
        <v>51</v>
      </c>
      <c r="G163" s="2" t="s">
        <v>106</v>
      </c>
      <c r="H163" s="2" t="s">
        <v>26</v>
      </c>
      <c r="I163" s="2" t="s">
        <v>57</v>
      </c>
      <c r="J163" s="2" t="s">
        <v>104</v>
      </c>
      <c r="K163" s="2" t="s">
        <v>59</v>
      </c>
      <c r="L163" s="2" t="s">
        <v>161</v>
      </c>
      <c r="M163" s="2" t="n">
        <v>276</v>
      </c>
      <c r="N163" s="3" t="n">
        <v>25</v>
      </c>
      <c r="O163" s="4" t="n">
        <v>23.96</v>
      </c>
      <c r="P163" s="5" t="n">
        <v>12.5</v>
      </c>
      <c r="Q163" s="2" t="n">
        <v>0</v>
      </c>
      <c r="R163" s="4" t="n">
        <f aca="false">M163*O163</f>
        <v>6612.96</v>
      </c>
      <c r="S163" s="4" t="n">
        <f aca="false">R163*(P163/100)</f>
        <v>826.62</v>
      </c>
      <c r="T163" s="4" t="n">
        <f aca="false">R163-S163</f>
        <v>5786.34</v>
      </c>
    </row>
    <row r="164" customFormat="false" ht="15" hidden="false" customHeight="false" outlineLevel="0" collapsed="false">
      <c r="A164" s="2" t="n">
        <v>800163</v>
      </c>
      <c r="B164" s="2" t="s">
        <v>54</v>
      </c>
      <c r="C164" s="2" t="s">
        <v>32</v>
      </c>
      <c r="D164" s="2" t="s">
        <v>76</v>
      </c>
      <c r="E164" s="2" t="s">
        <v>96</v>
      </c>
      <c r="F164" s="2" t="s">
        <v>35</v>
      </c>
      <c r="G164" s="2" t="s">
        <v>137</v>
      </c>
      <c r="H164" s="2" t="s">
        <v>26</v>
      </c>
      <c r="I164" s="2" t="s">
        <v>57</v>
      </c>
      <c r="J164" s="2" t="s">
        <v>58</v>
      </c>
      <c r="K164" s="2" t="s">
        <v>59</v>
      </c>
      <c r="L164" s="2" t="s">
        <v>82</v>
      </c>
      <c r="M164" s="2" t="n">
        <v>108</v>
      </c>
      <c r="N164" s="3" t="n">
        <v>20</v>
      </c>
      <c r="O164" s="4" t="n">
        <v>18.29</v>
      </c>
      <c r="P164" s="5" t="n">
        <v>7.5</v>
      </c>
      <c r="Q164" s="2" t="n">
        <v>3</v>
      </c>
      <c r="R164" s="4" t="n">
        <f aca="false">M164*O164</f>
        <v>1975.32</v>
      </c>
      <c r="S164" s="4" t="n">
        <f aca="false">R164*(P164/100)</f>
        <v>148.149</v>
      </c>
      <c r="T164" s="4" t="n">
        <f aca="false">R164-S164</f>
        <v>1827.171</v>
      </c>
    </row>
    <row r="165" customFormat="false" ht="15" hidden="false" customHeight="false" outlineLevel="0" collapsed="false">
      <c r="A165" s="2" t="n">
        <v>800164</v>
      </c>
      <c r="B165" s="2" t="s">
        <v>265</v>
      </c>
      <c r="C165" s="2" t="s">
        <v>84</v>
      </c>
      <c r="D165" s="2" t="s">
        <v>164</v>
      </c>
      <c r="E165" s="2" t="s">
        <v>211</v>
      </c>
      <c r="F165" s="2" t="s">
        <v>24</v>
      </c>
      <c r="G165" s="2" t="s">
        <v>68</v>
      </c>
      <c r="H165" s="2" t="s">
        <v>26</v>
      </c>
      <c r="I165" s="2" t="s">
        <v>37</v>
      </c>
      <c r="J165" s="2" t="s">
        <v>38</v>
      </c>
      <c r="K165" s="2" t="s">
        <v>39</v>
      </c>
      <c r="L165" s="2" t="s">
        <v>99</v>
      </c>
      <c r="M165" s="2" t="n">
        <v>172</v>
      </c>
      <c r="N165" s="3" t="n">
        <v>30</v>
      </c>
      <c r="O165" s="4" t="n">
        <v>28.74</v>
      </c>
      <c r="P165" s="5" t="n">
        <v>2</v>
      </c>
      <c r="Q165" s="2" t="n">
        <v>2</v>
      </c>
      <c r="R165" s="4" t="n">
        <f aca="false">M165*O165</f>
        <v>4943.28</v>
      </c>
      <c r="S165" s="4" t="n">
        <f aca="false">R165*(P165/100)</f>
        <v>98.8656</v>
      </c>
      <c r="T165" s="4" t="n">
        <f aca="false">R165-S165</f>
        <v>4844.4144</v>
      </c>
    </row>
    <row r="166" customFormat="false" ht="15" hidden="false" customHeight="false" outlineLevel="0" collapsed="false">
      <c r="A166" s="2" t="n">
        <v>800165</v>
      </c>
      <c r="B166" s="2" t="s">
        <v>266</v>
      </c>
      <c r="C166" s="2" t="s">
        <v>41</v>
      </c>
      <c r="D166" s="2" t="s">
        <v>42</v>
      </c>
      <c r="E166" s="2" t="s">
        <v>179</v>
      </c>
      <c r="F166" s="2" t="s">
        <v>87</v>
      </c>
      <c r="G166" s="2" t="s">
        <v>68</v>
      </c>
      <c r="H166" s="2" t="s">
        <v>26</v>
      </c>
      <c r="I166" s="2" t="s">
        <v>69</v>
      </c>
      <c r="J166" s="2" t="s">
        <v>202</v>
      </c>
      <c r="K166" s="2" t="s">
        <v>39</v>
      </c>
      <c r="L166" s="2" t="s">
        <v>161</v>
      </c>
      <c r="M166" s="2" t="n">
        <v>439</v>
      </c>
      <c r="N166" s="3" t="n">
        <v>20</v>
      </c>
      <c r="O166" s="4" t="n">
        <v>17.97</v>
      </c>
      <c r="P166" s="5" t="n">
        <v>0</v>
      </c>
      <c r="Q166" s="2" t="n">
        <v>0</v>
      </c>
      <c r="R166" s="4" t="n">
        <f aca="false">M166*O166</f>
        <v>7888.83</v>
      </c>
      <c r="S166" s="4" t="n">
        <f aca="false">R166*(P166/100)</f>
        <v>0</v>
      </c>
      <c r="T166" s="4" t="n">
        <f aca="false">R166-S166</f>
        <v>7888.83</v>
      </c>
    </row>
    <row r="167" customFormat="false" ht="15" hidden="false" customHeight="false" outlineLevel="0" collapsed="false">
      <c r="A167" s="2" t="n">
        <v>800166</v>
      </c>
      <c r="B167" s="2" t="s">
        <v>146</v>
      </c>
      <c r="C167" s="2" t="s">
        <v>84</v>
      </c>
      <c r="D167" s="2" t="s">
        <v>128</v>
      </c>
      <c r="E167" s="2" t="s">
        <v>199</v>
      </c>
      <c r="F167" s="2" t="s">
        <v>51</v>
      </c>
      <c r="G167" s="2" t="s">
        <v>62</v>
      </c>
      <c r="H167" s="2" t="s">
        <v>26</v>
      </c>
      <c r="I167" s="2" t="s">
        <v>44</v>
      </c>
      <c r="J167" s="2" t="s">
        <v>126</v>
      </c>
      <c r="K167" s="2" t="s">
        <v>71</v>
      </c>
      <c r="L167" s="2" t="s">
        <v>60</v>
      </c>
      <c r="M167" s="2" t="n">
        <v>129</v>
      </c>
      <c r="N167" s="3" t="n">
        <v>20</v>
      </c>
      <c r="O167" s="4" t="n">
        <v>17.57</v>
      </c>
      <c r="P167" s="5" t="n">
        <v>5</v>
      </c>
      <c r="Q167" s="2" t="n">
        <v>3</v>
      </c>
      <c r="R167" s="4" t="n">
        <f aca="false">M167*O167</f>
        <v>2266.53</v>
      </c>
      <c r="S167" s="4" t="n">
        <f aca="false">R167*(P167/100)</f>
        <v>113.3265</v>
      </c>
      <c r="T167" s="4" t="n">
        <f aca="false">R167-S167</f>
        <v>2153.2035</v>
      </c>
    </row>
    <row r="168" customFormat="false" ht="15" hidden="false" customHeight="false" outlineLevel="0" collapsed="false">
      <c r="A168" s="2" t="n">
        <v>800167</v>
      </c>
      <c r="B168" s="2" t="s">
        <v>219</v>
      </c>
      <c r="C168" s="2" t="s">
        <v>84</v>
      </c>
      <c r="D168" s="2" t="s">
        <v>85</v>
      </c>
      <c r="E168" s="2" t="s">
        <v>86</v>
      </c>
      <c r="F168" s="2" t="s">
        <v>35</v>
      </c>
      <c r="G168" s="2" t="s">
        <v>125</v>
      </c>
      <c r="H168" s="2" t="s">
        <v>26</v>
      </c>
      <c r="I168" s="2" t="s">
        <v>37</v>
      </c>
      <c r="J168" s="2" t="s">
        <v>38</v>
      </c>
      <c r="K168" s="2" t="s">
        <v>39</v>
      </c>
      <c r="L168" s="2" t="s">
        <v>99</v>
      </c>
      <c r="M168" s="2" t="n">
        <v>45</v>
      </c>
      <c r="N168" s="3" t="n">
        <v>30</v>
      </c>
      <c r="O168" s="4" t="n">
        <v>28.31</v>
      </c>
      <c r="P168" s="5" t="n">
        <v>2</v>
      </c>
      <c r="Q168" s="2" t="n">
        <v>0</v>
      </c>
      <c r="R168" s="4" t="n">
        <f aca="false">M168*O168</f>
        <v>1273.95</v>
      </c>
      <c r="S168" s="4" t="n">
        <f aca="false">R168*(P168/100)</f>
        <v>25.479</v>
      </c>
      <c r="T168" s="4" t="n">
        <f aca="false">R168-S168</f>
        <v>1248.471</v>
      </c>
    </row>
    <row r="169" customFormat="false" ht="15" hidden="false" customHeight="false" outlineLevel="0" collapsed="false">
      <c r="A169" s="2" t="n">
        <v>800168</v>
      </c>
      <c r="B169" s="2" t="s">
        <v>267</v>
      </c>
      <c r="C169" s="2" t="s">
        <v>21</v>
      </c>
      <c r="D169" s="2" t="s">
        <v>101</v>
      </c>
      <c r="E169" s="2" t="s">
        <v>102</v>
      </c>
      <c r="F169" s="2" t="s">
        <v>51</v>
      </c>
      <c r="G169" s="2" t="s">
        <v>52</v>
      </c>
      <c r="H169" s="2" t="s">
        <v>26</v>
      </c>
      <c r="I169" s="2" t="s">
        <v>27</v>
      </c>
      <c r="J169" s="2" t="s">
        <v>28</v>
      </c>
      <c r="K169" s="2" t="s">
        <v>29</v>
      </c>
      <c r="L169" s="2" t="s">
        <v>30</v>
      </c>
      <c r="M169" s="2" t="n">
        <v>495</v>
      </c>
      <c r="N169" s="3" t="n">
        <v>30</v>
      </c>
      <c r="O169" s="4" t="n">
        <v>26.16</v>
      </c>
      <c r="P169" s="5" t="n">
        <v>12.5</v>
      </c>
      <c r="Q169" s="2" t="n">
        <v>2</v>
      </c>
      <c r="R169" s="4" t="n">
        <f aca="false">M169*O169</f>
        <v>12949.2</v>
      </c>
      <c r="S169" s="4" t="n">
        <f aca="false">R169*(P169/100)</f>
        <v>1618.65</v>
      </c>
      <c r="T169" s="4" t="n">
        <f aca="false">R169-S169</f>
        <v>11330.55</v>
      </c>
    </row>
    <row r="170" customFormat="false" ht="15" hidden="false" customHeight="false" outlineLevel="0" collapsed="false">
      <c r="A170" s="2" t="n">
        <v>800169</v>
      </c>
      <c r="B170" s="2" t="s">
        <v>268</v>
      </c>
      <c r="C170" s="2" t="s">
        <v>32</v>
      </c>
      <c r="D170" s="2" t="s">
        <v>55</v>
      </c>
      <c r="E170" s="2" t="s">
        <v>93</v>
      </c>
      <c r="F170" s="2" t="s">
        <v>87</v>
      </c>
      <c r="G170" s="2" t="s">
        <v>62</v>
      </c>
      <c r="H170" s="2" t="s">
        <v>26</v>
      </c>
      <c r="I170" s="2" t="s">
        <v>69</v>
      </c>
      <c r="J170" s="2" t="s">
        <v>134</v>
      </c>
      <c r="K170" s="2" t="s">
        <v>71</v>
      </c>
      <c r="L170" s="2" t="s">
        <v>53</v>
      </c>
      <c r="M170" s="2" t="n">
        <v>138</v>
      </c>
      <c r="N170" s="3" t="n">
        <v>40</v>
      </c>
      <c r="O170" s="4" t="n">
        <v>37</v>
      </c>
      <c r="P170" s="5" t="n">
        <v>0</v>
      </c>
      <c r="Q170" s="2" t="n">
        <v>0</v>
      </c>
      <c r="R170" s="4" t="n">
        <f aca="false">M170*O170</f>
        <v>5106</v>
      </c>
      <c r="S170" s="4" t="n">
        <f aca="false">R170*(P170/100)</f>
        <v>0</v>
      </c>
      <c r="T170" s="4" t="n">
        <f aca="false">R170-S170</f>
        <v>5106</v>
      </c>
    </row>
    <row r="171" customFormat="false" ht="15" hidden="false" customHeight="false" outlineLevel="0" collapsed="false">
      <c r="A171" s="2" t="n">
        <v>800170</v>
      </c>
      <c r="B171" s="2" t="s">
        <v>150</v>
      </c>
      <c r="C171" s="2" t="s">
        <v>32</v>
      </c>
      <c r="D171" s="2" t="s">
        <v>66</v>
      </c>
      <c r="E171" s="2" t="s">
        <v>67</v>
      </c>
      <c r="F171" s="2" t="s">
        <v>51</v>
      </c>
      <c r="G171" s="2" t="s">
        <v>106</v>
      </c>
      <c r="H171" s="2" t="s">
        <v>26</v>
      </c>
      <c r="I171" s="2" t="s">
        <v>44</v>
      </c>
      <c r="J171" s="2" t="s">
        <v>45</v>
      </c>
      <c r="K171" s="2" t="s">
        <v>46</v>
      </c>
      <c r="L171" s="2" t="s">
        <v>132</v>
      </c>
      <c r="M171" s="2" t="n">
        <v>172</v>
      </c>
      <c r="N171" s="3" t="n">
        <v>20</v>
      </c>
      <c r="O171" s="4" t="n">
        <v>18.59</v>
      </c>
      <c r="P171" s="5" t="n">
        <v>0</v>
      </c>
      <c r="Q171" s="2" t="n">
        <v>1</v>
      </c>
      <c r="R171" s="4" t="n">
        <f aca="false">M171*O171</f>
        <v>3197.48</v>
      </c>
      <c r="S171" s="4" t="n">
        <f aca="false">R171*(P171/100)</f>
        <v>0</v>
      </c>
      <c r="T171" s="4" t="n">
        <f aca="false">R171-S171</f>
        <v>3197.48</v>
      </c>
    </row>
    <row r="172" customFormat="false" ht="15" hidden="false" customHeight="false" outlineLevel="0" collapsed="false">
      <c r="A172" s="2" t="n">
        <v>800171</v>
      </c>
      <c r="B172" s="2" t="s">
        <v>269</v>
      </c>
      <c r="C172" s="2" t="s">
        <v>41</v>
      </c>
      <c r="D172" s="2" t="s">
        <v>49</v>
      </c>
      <c r="E172" s="2" t="s">
        <v>80</v>
      </c>
      <c r="F172" s="2" t="s">
        <v>24</v>
      </c>
      <c r="G172" s="2" t="s">
        <v>90</v>
      </c>
      <c r="H172" s="2" t="s">
        <v>26</v>
      </c>
      <c r="I172" s="2" t="s">
        <v>57</v>
      </c>
      <c r="J172" s="2" t="s">
        <v>58</v>
      </c>
      <c r="K172" s="2" t="s">
        <v>59</v>
      </c>
      <c r="L172" s="2" t="s">
        <v>99</v>
      </c>
      <c r="M172" s="2" t="n">
        <v>434</v>
      </c>
      <c r="N172" s="3" t="n">
        <v>20</v>
      </c>
      <c r="O172" s="4" t="n">
        <v>17.32</v>
      </c>
      <c r="P172" s="5" t="n">
        <v>0</v>
      </c>
      <c r="Q172" s="2" t="n">
        <v>2</v>
      </c>
      <c r="R172" s="4" t="n">
        <f aca="false">M172*O172</f>
        <v>7516.88</v>
      </c>
      <c r="S172" s="4" t="n">
        <f aca="false">R172*(P172/100)</f>
        <v>0</v>
      </c>
      <c r="T172" s="4" t="n">
        <f aca="false">R172-S172</f>
        <v>7516.88</v>
      </c>
    </row>
    <row r="173" customFormat="false" ht="15" hidden="false" customHeight="false" outlineLevel="0" collapsed="false">
      <c r="A173" s="2" t="n">
        <v>800172</v>
      </c>
      <c r="B173" s="2" t="s">
        <v>95</v>
      </c>
      <c r="C173" s="2" t="s">
        <v>84</v>
      </c>
      <c r="D173" s="2" t="s">
        <v>85</v>
      </c>
      <c r="E173" s="2" t="s">
        <v>86</v>
      </c>
      <c r="F173" s="2" t="s">
        <v>87</v>
      </c>
      <c r="G173" s="2" t="s">
        <v>68</v>
      </c>
      <c r="H173" s="2" t="s">
        <v>26</v>
      </c>
      <c r="I173" s="2" t="s">
        <v>37</v>
      </c>
      <c r="J173" s="2" t="s">
        <v>38</v>
      </c>
      <c r="K173" s="2" t="s">
        <v>39</v>
      </c>
      <c r="L173" s="2" t="s">
        <v>64</v>
      </c>
      <c r="M173" s="2" t="n">
        <v>332</v>
      </c>
      <c r="N173" s="3" t="n">
        <v>30</v>
      </c>
      <c r="O173" s="4" t="n">
        <v>29.1</v>
      </c>
      <c r="P173" s="5" t="n">
        <v>10</v>
      </c>
      <c r="Q173" s="2" t="n">
        <v>1</v>
      </c>
      <c r="R173" s="4" t="n">
        <f aca="false">M173*O173</f>
        <v>9661.2</v>
      </c>
      <c r="S173" s="4" t="n">
        <f aca="false">R173*(P173/100)</f>
        <v>966.12</v>
      </c>
      <c r="T173" s="4" t="n">
        <f aca="false">R173-S173</f>
        <v>8695.08</v>
      </c>
    </row>
    <row r="174" customFormat="false" ht="15" hidden="false" customHeight="false" outlineLevel="0" collapsed="false">
      <c r="A174" s="2" t="n">
        <v>800173</v>
      </c>
      <c r="B174" s="2" t="s">
        <v>270</v>
      </c>
      <c r="C174" s="2" t="s">
        <v>84</v>
      </c>
      <c r="D174" s="2" t="s">
        <v>128</v>
      </c>
      <c r="E174" s="2" t="s">
        <v>199</v>
      </c>
      <c r="F174" s="2" t="s">
        <v>78</v>
      </c>
      <c r="G174" s="2" t="s">
        <v>106</v>
      </c>
      <c r="H174" s="2" t="s">
        <v>26</v>
      </c>
      <c r="I174" s="2" t="s">
        <v>27</v>
      </c>
      <c r="J174" s="2" t="s">
        <v>98</v>
      </c>
      <c r="K174" s="2" t="s">
        <v>46</v>
      </c>
      <c r="L174" s="2" t="s">
        <v>82</v>
      </c>
      <c r="M174" s="2" t="n">
        <v>499</v>
      </c>
      <c r="N174" s="3" t="n">
        <v>99</v>
      </c>
      <c r="O174" s="4" t="n">
        <v>87.59</v>
      </c>
      <c r="P174" s="5" t="n">
        <v>5</v>
      </c>
      <c r="Q174" s="2" t="n">
        <v>1</v>
      </c>
      <c r="R174" s="4" t="n">
        <f aca="false">M174*O174</f>
        <v>43707.41</v>
      </c>
      <c r="S174" s="4" t="n">
        <f aca="false">R174*(P174/100)</f>
        <v>2185.3705</v>
      </c>
      <c r="T174" s="4" t="n">
        <f aca="false">R174-S174</f>
        <v>41522.0395</v>
      </c>
    </row>
    <row r="175" customFormat="false" ht="15" hidden="false" customHeight="false" outlineLevel="0" collapsed="false">
      <c r="A175" s="2" t="n">
        <v>800174</v>
      </c>
      <c r="B175" s="2" t="s">
        <v>271</v>
      </c>
      <c r="C175" s="2" t="s">
        <v>41</v>
      </c>
      <c r="D175" s="2" t="s">
        <v>42</v>
      </c>
      <c r="E175" s="2" t="s">
        <v>43</v>
      </c>
      <c r="F175" s="2" t="s">
        <v>87</v>
      </c>
      <c r="G175" s="2" t="s">
        <v>143</v>
      </c>
      <c r="H175" s="2" t="s">
        <v>26</v>
      </c>
      <c r="I175" s="2" t="s">
        <v>37</v>
      </c>
      <c r="J175" s="2" t="s">
        <v>38</v>
      </c>
      <c r="K175" s="2" t="s">
        <v>39</v>
      </c>
      <c r="L175" s="2" t="s">
        <v>107</v>
      </c>
      <c r="M175" s="2" t="n">
        <v>354</v>
      </c>
      <c r="N175" s="3" t="n">
        <v>30</v>
      </c>
      <c r="O175" s="4" t="n">
        <v>27.01</v>
      </c>
      <c r="P175" s="5" t="n">
        <v>2</v>
      </c>
      <c r="Q175" s="2" t="n">
        <v>0</v>
      </c>
      <c r="R175" s="4" t="n">
        <f aca="false">M175*O175</f>
        <v>9561.54</v>
      </c>
      <c r="S175" s="4" t="n">
        <f aca="false">R175*(P175/100)</f>
        <v>191.2308</v>
      </c>
      <c r="T175" s="4" t="n">
        <f aca="false">R175-S175</f>
        <v>9370.3092</v>
      </c>
    </row>
    <row r="176" customFormat="false" ht="15" hidden="false" customHeight="false" outlineLevel="0" collapsed="false">
      <c r="A176" s="2" t="n">
        <v>800175</v>
      </c>
      <c r="B176" s="2" t="s">
        <v>272</v>
      </c>
      <c r="C176" s="2" t="s">
        <v>21</v>
      </c>
      <c r="D176" s="2" t="s">
        <v>101</v>
      </c>
      <c r="E176" s="2" t="s">
        <v>102</v>
      </c>
      <c r="F176" s="2" t="s">
        <v>24</v>
      </c>
      <c r="G176" s="2" t="s">
        <v>103</v>
      </c>
      <c r="H176" s="2" t="s">
        <v>26</v>
      </c>
      <c r="I176" s="2" t="s">
        <v>37</v>
      </c>
      <c r="J176" s="2" t="s">
        <v>38</v>
      </c>
      <c r="K176" s="2" t="s">
        <v>39</v>
      </c>
      <c r="L176" s="2" t="s">
        <v>47</v>
      </c>
      <c r="M176" s="2" t="n">
        <v>347</v>
      </c>
      <c r="N176" s="3" t="n">
        <v>30</v>
      </c>
      <c r="O176" s="4" t="n">
        <v>29.35</v>
      </c>
      <c r="P176" s="5" t="n">
        <v>5</v>
      </c>
      <c r="Q176" s="2" t="n">
        <v>1</v>
      </c>
      <c r="R176" s="4" t="n">
        <f aca="false">M176*O176</f>
        <v>10184.45</v>
      </c>
      <c r="S176" s="4" t="n">
        <f aca="false">R176*(P176/100)</f>
        <v>509.2225</v>
      </c>
      <c r="T176" s="4" t="n">
        <f aca="false">R176-S176</f>
        <v>9675.2275</v>
      </c>
    </row>
    <row r="177" customFormat="false" ht="15" hidden="false" customHeight="false" outlineLevel="0" collapsed="false">
      <c r="A177" s="2" t="n">
        <v>800176</v>
      </c>
      <c r="B177" s="2" t="s">
        <v>273</v>
      </c>
      <c r="C177" s="2" t="s">
        <v>32</v>
      </c>
      <c r="D177" s="2" t="s">
        <v>33</v>
      </c>
      <c r="E177" s="2" t="s">
        <v>141</v>
      </c>
      <c r="F177" s="2" t="s">
        <v>51</v>
      </c>
      <c r="G177" s="2" t="s">
        <v>106</v>
      </c>
      <c r="H177" s="2" t="s">
        <v>26</v>
      </c>
      <c r="I177" s="2" t="s">
        <v>57</v>
      </c>
      <c r="J177" s="2" t="s">
        <v>58</v>
      </c>
      <c r="K177" s="2" t="s">
        <v>59</v>
      </c>
      <c r="L177" s="2" t="s">
        <v>161</v>
      </c>
      <c r="M177" s="2" t="n">
        <v>379</v>
      </c>
      <c r="N177" s="3" t="n">
        <v>20</v>
      </c>
      <c r="O177" s="4" t="n">
        <v>18.54</v>
      </c>
      <c r="P177" s="5" t="n">
        <v>12.5</v>
      </c>
      <c r="Q177" s="2" t="n">
        <v>3</v>
      </c>
      <c r="R177" s="4" t="n">
        <f aca="false">M177*O177</f>
        <v>7026.66</v>
      </c>
      <c r="S177" s="4" t="n">
        <f aca="false">R177*(P177/100)</f>
        <v>878.3325</v>
      </c>
      <c r="T177" s="4" t="n">
        <f aca="false">R177-S177</f>
        <v>6148.3275</v>
      </c>
    </row>
    <row r="178" customFormat="false" ht="15" hidden="false" customHeight="false" outlineLevel="0" collapsed="false">
      <c r="A178" s="2" t="n">
        <v>800177</v>
      </c>
      <c r="B178" s="2" t="s">
        <v>274</v>
      </c>
      <c r="C178" s="2" t="s">
        <v>32</v>
      </c>
      <c r="D178" s="2" t="s">
        <v>33</v>
      </c>
      <c r="E178" s="2" t="s">
        <v>34</v>
      </c>
      <c r="F178" s="2" t="s">
        <v>35</v>
      </c>
      <c r="G178" s="2" t="s">
        <v>52</v>
      </c>
      <c r="H178" s="2" t="s">
        <v>26</v>
      </c>
      <c r="I178" s="2" t="s">
        <v>37</v>
      </c>
      <c r="J178" s="2" t="s">
        <v>38</v>
      </c>
      <c r="K178" s="2" t="s">
        <v>39</v>
      </c>
      <c r="L178" s="2" t="s">
        <v>30</v>
      </c>
      <c r="M178" s="2" t="n">
        <v>380</v>
      </c>
      <c r="N178" s="3" t="n">
        <v>30</v>
      </c>
      <c r="O178" s="4" t="n">
        <v>27.02</v>
      </c>
      <c r="P178" s="5" t="n">
        <v>0</v>
      </c>
      <c r="Q178" s="2" t="n">
        <v>0</v>
      </c>
      <c r="R178" s="4" t="n">
        <f aca="false">M178*O178</f>
        <v>10267.6</v>
      </c>
      <c r="S178" s="4" t="n">
        <f aca="false">R178*(P178/100)</f>
        <v>0</v>
      </c>
      <c r="T178" s="4" t="n">
        <f aca="false">R178-S178</f>
        <v>10267.6</v>
      </c>
    </row>
    <row r="179" customFormat="false" ht="15" hidden="false" customHeight="false" outlineLevel="0" collapsed="false">
      <c r="A179" s="2" t="n">
        <v>800178</v>
      </c>
      <c r="B179" s="2" t="s">
        <v>222</v>
      </c>
      <c r="C179" s="2" t="s">
        <v>32</v>
      </c>
      <c r="D179" s="2" t="s">
        <v>76</v>
      </c>
      <c r="E179" s="2" t="s">
        <v>96</v>
      </c>
      <c r="F179" s="2" t="s">
        <v>24</v>
      </c>
      <c r="G179" s="2" t="s">
        <v>137</v>
      </c>
      <c r="H179" s="2" t="s">
        <v>26</v>
      </c>
      <c r="I179" s="2" t="s">
        <v>37</v>
      </c>
      <c r="J179" s="2" t="s">
        <v>38</v>
      </c>
      <c r="K179" s="2" t="s">
        <v>39</v>
      </c>
      <c r="L179" s="2" t="s">
        <v>47</v>
      </c>
      <c r="M179" s="2" t="n">
        <v>368</v>
      </c>
      <c r="N179" s="3" t="n">
        <v>30</v>
      </c>
      <c r="O179" s="4" t="n">
        <v>26.36</v>
      </c>
      <c r="P179" s="5" t="n">
        <v>12.5</v>
      </c>
      <c r="Q179" s="2" t="n">
        <v>0</v>
      </c>
      <c r="R179" s="4" t="n">
        <f aca="false">M179*O179</f>
        <v>9700.48</v>
      </c>
      <c r="S179" s="4" t="n">
        <f aca="false">R179*(P179/100)</f>
        <v>1212.56</v>
      </c>
      <c r="T179" s="4" t="n">
        <f aca="false">R179-S179</f>
        <v>8487.92</v>
      </c>
    </row>
    <row r="180" customFormat="false" ht="15" hidden="false" customHeight="false" outlineLevel="0" collapsed="false">
      <c r="A180" s="2" t="n">
        <v>800179</v>
      </c>
      <c r="B180" s="2" t="s">
        <v>65</v>
      </c>
      <c r="C180" s="2" t="s">
        <v>41</v>
      </c>
      <c r="D180" s="2" t="s">
        <v>73</v>
      </c>
      <c r="E180" s="2" t="s">
        <v>74</v>
      </c>
      <c r="F180" s="2" t="s">
        <v>24</v>
      </c>
      <c r="G180" s="2" t="s">
        <v>90</v>
      </c>
      <c r="H180" s="2" t="s">
        <v>26</v>
      </c>
      <c r="I180" s="2" t="s">
        <v>57</v>
      </c>
      <c r="J180" s="2" t="s">
        <v>58</v>
      </c>
      <c r="K180" s="2" t="s">
        <v>59</v>
      </c>
      <c r="L180" s="2" t="s">
        <v>53</v>
      </c>
      <c r="M180" s="2" t="n">
        <v>49</v>
      </c>
      <c r="N180" s="3" t="n">
        <v>20</v>
      </c>
      <c r="O180" s="4" t="n">
        <v>18.56</v>
      </c>
      <c r="P180" s="5" t="n">
        <v>5</v>
      </c>
      <c r="Q180" s="2" t="n">
        <v>0</v>
      </c>
      <c r="R180" s="4" t="n">
        <f aca="false">M180*O180</f>
        <v>909.44</v>
      </c>
      <c r="S180" s="4" t="n">
        <f aca="false">R180*(P180/100)</f>
        <v>45.472</v>
      </c>
      <c r="T180" s="4" t="n">
        <f aca="false">R180-S180</f>
        <v>863.968</v>
      </c>
    </row>
    <row r="181" customFormat="false" ht="15" hidden="false" customHeight="false" outlineLevel="0" collapsed="false">
      <c r="A181" s="2" t="n">
        <v>800180</v>
      </c>
      <c r="B181" s="2" t="s">
        <v>275</v>
      </c>
      <c r="C181" s="2" t="s">
        <v>84</v>
      </c>
      <c r="D181" s="2" t="s">
        <v>128</v>
      </c>
      <c r="E181" s="2" t="s">
        <v>129</v>
      </c>
      <c r="F181" s="2" t="s">
        <v>35</v>
      </c>
      <c r="G181" s="2" t="s">
        <v>52</v>
      </c>
      <c r="H181" s="2" t="s">
        <v>26</v>
      </c>
      <c r="I181" s="2" t="s">
        <v>69</v>
      </c>
      <c r="J181" s="2" t="s">
        <v>202</v>
      </c>
      <c r="K181" s="2" t="s">
        <v>39</v>
      </c>
      <c r="L181" s="2" t="s">
        <v>82</v>
      </c>
      <c r="M181" s="2" t="n">
        <v>378</v>
      </c>
      <c r="N181" s="3" t="n">
        <v>20</v>
      </c>
      <c r="O181" s="4" t="n">
        <v>17.18</v>
      </c>
      <c r="P181" s="5" t="n">
        <v>0</v>
      </c>
      <c r="Q181" s="2" t="n">
        <v>0</v>
      </c>
      <c r="R181" s="4" t="n">
        <f aca="false">M181*O181</f>
        <v>6494.04</v>
      </c>
      <c r="S181" s="4" t="n">
        <f aca="false">R181*(P181/100)</f>
        <v>0</v>
      </c>
      <c r="T181" s="4" t="n">
        <f aca="false">R181-S181</f>
        <v>6494.04</v>
      </c>
    </row>
    <row r="182" customFormat="false" ht="15" hidden="false" customHeight="false" outlineLevel="0" collapsed="false">
      <c r="A182" s="2" t="n">
        <v>800181</v>
      </c>
      <c r="B182" s="2" t="s">
        <v>163</v>
      </c>
      <c r="C182" s="2" t="s">
        <v>21</v>
      </c>
      <c r="D182" s="2" t="s">
        <v>147</v>
      </c>
      <c r="E182" s="2" t="s">
        <v>276</v>
      </c>
      <c r="F182" s="2" t="s">
        <v>24</v>
      </c>
      <c r="G182" s="2" t="s">
        <v>106</v>
      </c>
      <c r="H182" s="2" t="s">
        <v>26</v>
      </c>
      <c r="I182" s="2" t="s">
        <v>57</v>
      </c>
      <c r="J182" s="2" t="s">
        <v>58</v>
      </c>
      <c r="K182" s="2" t="s">
        <v>59</v>
      </c>
      <c r="L182" s="2" t="s">
        <v>161</v>
      </c>
      <c r="M182" s="2" t="n">
        <v>249</v>
      </c>
      <c r="N182" s="3" t="n">
        <v>20</v>
      </c>
      <c r="O182" s="4" t="n">
        <v>19.43</v>
      </c>
      <c r="P182" s="5" t="n">
        <v>10</v>
      </c>
      <c r="Q182" s="2" t="n">
        <v>1</v>
      </c>
      <c r="R182" s="4" t="n">
        <f aca="false">M182*O182</f>
        <v>4838.07</v>
      </c>
      <c r="S182" s="4" t="n">
        <f aca="false">R182*(P182/100)</f>
        <v>483.807</v>
      </c>
      <c r="T182" s="4" t="n">
        <f aca="false">R182-S182</f>
        <v>4354.263</v>
      </c>
    </row>
    <row r="183" customFormat="false" ht="15" hidden="false" customHeight="false" outlineLevel="0" collapsed="false">
      <c r="A183" s="2" t="n">
        <v>800182</v>
      </c>
      <c r="B183" s="2" t="s">
        <v>277</v>
      </c>
      <c r="C183" s="2" t="s">
        <v>32</v>
      </c>
      <c r="D183" s="2" t="s">
        <v>55</v>
      </c>
      <c r="E183" s="2" t="s">
        <v>56</v>
      </c>
      <c r="F183" s="2" t="s">
        <v>24</v>
      </c>
      <c r="G183" s="2" t="s">
        <v>90</v>
      </c>
      <c r="H183" s="2" t="s">
        <v>26</v>
      </c>
      <c r="I183" s="2" t="s">
        <v>57</v>
      </c>
      <c r="J183" s="2" t="s">
        <v>104</v>
      </c>
      <c r="K183" s="2" t="s">
        <v>59</v>
      </c>
      <c r="L183" s="2" t="s">
        <v>99</v>
      </c>
      <c r="M183" s="2" t="n">
        <v>447</v>
      </c>
      <c r="N183" s="3" t="n">
        <v>25</v>
      </c>
      <c r="O183" s="4" t="n">
        <v>21.26</v>
      </c>
      <c r="P183" s="5" t="n">
        <v>0</v>
      </c>
      <c r="Q183" s="2" t="n">
        <v>0</v>
      </c>
      <c r="R183" s="4" t="n">
        <f aca="false">M183*O183</f>
        <v>9503.22</v>
      </c>
      <c r="S183" s="4" t="n">
        <f aca="false">R183*(P183/100)</f>
        <v>0</v>
      </c>
      <c r="T183" s="4" t="n">
        <f aca="false">R183-S183</f>
        <v>9503.22</v>
      </c>
    </row>
    <row r="184" customFormat="false" ht="15" hidden="false" customHeight="false" outlineLevel="0" collapsed="false">
      <c r="A184" s="2" t="n">
        <v>800183</v>
      </c>
      <c r="B184" s="2" t="s">
        <v>278</v>
      </c>
      <c r="C184" s="2" t="s">
        <v>41</v>
      </c>
      <c r="D184" s="2" t="s">
        <v>49</v>
      </c>
      <c r="E184" s="2" t="s">
        <v>80</v>
      </c>
      <c r="F184" s="2" t="s">
        <v>24</v>
      </c>
      <c r="G184" s="2" t="s">
        <v>25</v>
      </c>
      <c r="H184" s="2" t="s">
        <v>26</v>
      </c>
      <c r="I184" s="2" t="s">
        <v>57</v>
      </c>
      <c r="J184" s="2" t="s">
        <v>58</v>
      </c>
      <c r="K184" s="2" t="s">
        <v>59</v>
      </c>
      <c r="L184" s="2" t="s">
        <v>64</v>
      </c>
      <c r="M184" s="2" t="n">
        <v>161</v>
      </c>
      <c r="N184" s="3" t="n">
        <v>20</v>
      </c>
      <c r="O184" s="4" t="n">
        <v>17.53</v>
      </c>
      <c r="P184" s="5" t="n">
        <v>0</v>
      </c>
      <c r="Q184" s="2" t="n">
        <v>0</v>
      </c>
      <c r="R184" s="4" t="n">
        <f aca="false">M184*O184</f>
        <v>2822.33</v>
      </c>
      <c r="S184" s="4" t="n">
        <f aca="false">R184*(P184/100)</f>
        <v>0</v>
      </c>
      <c r="T184" s="4" t="n">
        <f aca="false">R184-S184</f>
        <v>2822.33</v>
      </c>
    </row>
    <row r="185" customFormat="false" ht="15" hidden="false" customHeight="false" outlineLevel="0" collapsed="false">
      <c r="A185" s="2" t="n">
        <v>800184</v>
      </c>
      <c r="B185" s="2" t="s">
        <v>40</v>
      </c>
      <c r="C185" s="2" t="s">
        <v>41</v>
      </c>
      <c r="D185" s="2" t="s">
        <v>49</v>
      </c>
      <c r="E185" s="2" t="s">
        <v>50</v>
      </c>
      <c r="F185" s="2" t="s">
        <v>24</v>
      </c>
      <c r="G185" s="2" t="s">
        <v>25</v>
      </c>
      <c r="H185" s="2" t="s">
        <v>26</v>
      </c>
      <c r="I185" s="2" t="s">
        <v>69</v>
      </c>
      <c r="J185" s="2" t="s">
        <v>134</v>
      </c>
      <c r="K185" s="2" t="s">
        <v>71</v>
      </c>
      <c r="L185" s="2" t="s">
        <v>53</v>
      </c>
      <c r="M185" s="2" t="n">
        <v>37</v>
      </c>
      <c r="N185" s="3" t="n">
        <v>40</v>
      </c>
      <c r="O185" s="4" t="n">
        <v>36.5</v>
      </c>
      <c r="P185" s="5" t="n">
        <v>0</v>
      </c>
      <c r="Q185" s="2" t="n">
        <v>0</v>
      </c>
      <c r="R185" s="4" t="n">
        <f aca="false">M185*O185</f>
        <v>1350.5</v>
      </c>
      <c r="S185" s="4" t="n">
        <f aca="false">R185*(P185/100)</f>
        <v>0</v>
      </c>
      <c r="T185" s="4" t="n">
        <f aca="false">R185-S185</f>
        <v>1350.5</v>
      </c>
    </row>
    <row r="186" customFormat="false" ht="15" hidden="false" customHeight="false" outlineLevel="0" collapsed="false">
      <c r="A186" s="2" t="n">
        <v>800185</v>
      </c>
      <c r="B186" s="2" t="s">
        <v>279</v>
      </c>
      <c r="C186" s="2" t="s">
        <v>41</v>
      </c>
      <c r="D186" s="2" t="s">
        <v>42</v>
      </c>
      <c r="E186" s="2" t="s">
        <v>131</v>
      </c>
      <c r="F186" s="2" t="s">
        <v>35</v>
      </c>
      <c r="G186" s="2" t="s">
        <v>25</v>
      </c>
      <c r="H186" s="2" t="s">
        <v>26</v>
      </c>
      <c r="I186" s="2" t="s">
        <v>69</v>
      </c>
      <c r="J186" s="2" t="s">
        <v>70</v>
      </c>
      <c r="K186" s="2" t="s">
        <v>39</v>
      </c>
      <c r="L186" s="2" t="s">
        <v>30</v>
      </c>
      <c r="M186" s="2" t="n">
        <v>168</v>
      </c>
      <c r="N186" s="3" t="n">
        <v>20</v>
      </c>
      <c r="O186" s="4" t="n">
        <v>17.66</v>
      </c>
      <c r="P186" s="5" t="n">
        <v>7.5</v>
      </c>
      <c r="Q186" s="2" t="n">
        <v>1</v>
      </c>
      <c r="R186" s="4" t="n">
        <f aca="false">M186*O186</f>
        <v>2966.88</v>
      </c>
      <c r="S186" s="4" t="n">
        <f aca="false">R186*(P186/100)</f>
        <v>222.516</v>
      </c>
      <c r="T186" s="4" t="n">
        <f aca="false">R186-S186</f>
        <v>2744.364</v>
      </c>
    </row>
    <row r="187" customFormat="false" ht="15" hidden="false" customHeight="false" outlineLevel="0" collapsed="false">
      <c r="A187" s="2" t="n">
        <v>800186</v>
      </c>
      <c r="B187" s="2" t="s">
        <v>280</v>
      </c>
      <c r="C187" s="2" t="s">
        <v>84</v>
      </c>
      <c r="D187" s="2" t="s">
        <v>85</v>
      </c>
      <c r="E187" s="2" t="s">
        <v>86</v>
      </c>
      <c r="F187" s="2" t="s">
        <v>51</v>
      </c>
      <c r="G187" s="2" t="s">
        <v>68</v>
      </c>
      <c r="H187" s="2" t="s">
        <v>26</v>
      </c>
      <c r="I187" s="2" t="s">
        <v>44</v>
      </c>
      <c r="J187" s="2" t="s">
        <v>45</v>
      </c>
      <c r="K187" s="2" t="s">
        <v>46</v>
      </c>
      <c r="L187" s="2" t="s">
        <v>30</v>
      </c>
      <c r="M187" s="2" t="n">
        <v>322</v>
      </c>
      <c r="N187" s="3" t="n">
        <v>20</v>
      </c>
      <c r="O187" s="4" t="n">
        <v>19.46</v>
      </c>
      <c r="P187" s="5" t="n">
        <v>0</v>
      </c>
      <c r="Q187" s="2" t="n">
        <v>1</v>
      </c>
      <c r="R187" s="4" t="n">
        <f aca="false">M187*O187</f>
        <v>6266.12</v>
      </c>
      <c r="S187" s="4" t="n">
        <f aca="false">R187*(P187/100)</f>
        <v>0</v>
      </c>
      <c r="T187" s="4" t="n">
        <f aca="false">R187-S187</f>
        <v>6266.12</v>
      </c>
    </row>
    <row r="188" customFormat="false" ht="15" hidden="false" customHeight="false" outlineLevel="0" collapsed="false">
      <c r="A188" s="2" t="n">
        <v>800187</v>
      </c>
      <c r="B188" s="2" t="s">
        <v>281</v>
      </c>
      <c r="C188" s="2" t="s">
        <v>41</v>
      </c>
      <c r="D188" s="2" t="s">
        <v>73</v>
      </c>
      <c r="E188" s="2" t="s">
        <v>74</v>
      </c>
      <c r="F188" s="2" t="s">
        <v>51</v>
      </c>
      <c r="G188" s="2" t="s">
        <v>90</v>
      </c>
      <c r="H188" s="2" t="s">
        <v>26</v>
      </c>
      <c r="I188" s="2" t="s">
        <v>44</v>
      </c>
      <c r="J188" s="2" t="s">
        <v>126</v>
      </c>
      <c r="K188" s="2" t="s">
        <v>71</v>
      </c>
      <c r="L188" s="2" t="s">
        <v>161</v>
      </c>
      <c r="M188" s="2" t="n">
        <v>229</v>
      </c>
      <c r="N188" s="3" t="n">
        <v>20</v>
      </c>
      <c r="O188" s="4" t="n">
        <v>17.42</v>
      </c>
      <c r="P188" s="5" t="n">
        <v>10</v>
      </c>
      <c r="Q188" s="2" t="n">
        <v>0</v>
      </c>
      <c r="R188" s="4" t="n">
        <f aca="false">M188*O188</f>
        <v>3989.18</v>
      </c>
      <c r="S188" s="4" t="n">
        <f aca="false">R188*(P188/100)</f>
        <v>398.918</v>
      </c>
      <c r="T188" s="4" t="n">
        <f aca="false">R188-S188</f>
        <v>3590.262</v>
      </c>
    </row>
    <row r="189" customFormat="false" ht="15" hidden="false" customHeight="false" outlineLevel="0" collapsed="false">
      <c r="A189" s="2" t="n">
        <v>800188</v>
      </c>
      <c r="B189" s="2" t="s">
        <v>282</v>
      </c>
      <c r="C189" s="2" t="s">
        <v>41</v>
      </c>
      <c r="D189" s="2" t="s">
        <v>73</v>
      </c>
      <c r="E189" s="2" t="s">
        <v>136</v>
      </c>
      <c r="F189" s="2" t="s">
        <v>87</v>
      </c>
      <c r="G189" s="2" t="s">
        <v>125</v>
      </c>
      <c r="H189" s="2" t="s">
        <v>26</v>
      </c>
      <c r="I189" s="2" t="s">
        <v>27</v>
      </c>
      <c r="J189" s="2" t="s">
        <v>98</v>
      </c>
      <c r="K189" s="2" t="s">
        <v>46</v>
      </c>
      <c r="L189" s="2" t="s">
        <v>132</v>
      </c>
      <c r="M189" s="2" t="n">
        <v>307</v>
      </c>
      <c r="N189" s="3" t="n">
        <v>99</v>
      </c>
      <c r="O189" s="4" t="n">
        <v>89.87</v>
      </c>
      <c r="P189" s="5" t="n">
        <v>10</v>
      </c>
      <c r="Q189" s="2" t="n">
        <v>3</v>
      </c>
      <c r="R189" s="4" t="n">
        <f aca="false">M189*O189</f>
        <v>27590.09</v>
      </c>
      <c r="S189" s="4" t="n">
        <f aca="false">R189*(P189/100)</f>
        <v>2759.009</v>
      </c>
      <c r="T189" s="4" t="n">
        <f aca="false">R189-S189</f>
        <v>24831.081</v>
      </c>
    </row>
    <row r="190" customFormat="false" ht="15" hidden="false" customHeight="false" outlineLevel="0" collapsed="false">
      <c r="A190" s="2" t="n">
        <v>800189</v>
      </c>
      <c r="B190" s="2" t="s">
        <v>257</v>
      </c>
      <c r="C190" s="2" t="s">
        <v>32</v>
      </c>
      <c r="D190" s="2" t="s">
        <v>151</v>
      </c>
      <c r="E190" s="2" t="s">
        <v>158</v>
      </c>
      <c r="F190" s="2" t="s">
        <v>87</v>
      </c>
      <c r="G190" s="2" t="s">
        <v>25</v>
      </c>
      <c r="H190" s="2" t="s">
        <v>26</v>
      </c>
      <c r="I190" s="2" t="s">
        <v>44</v>
      </c>
      <c r="J190" s="2" t="s">
        <v>126</v>
      </c>
      <c r="K190" s="2" t="s">
        <v>71</v>
      </c>
      <c r="L190" s="2" t="s">
        <v>47</v>
      </c>
      <c r="M190" s="2" t="n">
        <v>492</v>
      </c>
      <c r="N190" s="3" t="n">
        <v>20</v>
      </c>
      <c r="O190" s="4" t="n">
        <v>18.26</v>
      </c>
      <c r="P190" s="5" t="n">
        <v>7.5</v>
      </c>
      <c r="Q190" s="2" t="n">
        <v>0</v>
      </c>
      <c r="R190" s="4" t="n">
        <f aca="false">M190*O190</f>
        <v>8983.92</v>
      </c>
      <c r="S190" s="4" t="n">
        <f aca="false">R190*(P190/100)</f>
        <v>673.794</v>
      </c>
      <c r="T190" s="4" t="n">
        <f aca="false">R190-S190</f>
        <v>8310.126</v>
      </c>
    </row>
    <row r="191" customFormat="false" ht="15" hidden="false" customHeight="false" outlineLevel="0" collapsed="false">
      <c r="A191" s="2" t="n">
        <v>800190</v>
      </c>
      <c r="B191" s="2" t="s">
        <v>283</v>
      </c>
      <c r="C191" s="2" t="s">
        <v>32</v>
      </c>
      <c r="D191" s="2" t="s">
        <v>66</v>
      </c>
      <c r="E191" s="2" t="s">
        <v>67</v>
      </c>
      <c r="F191" s="2" t="s">
        <v>51</v>
      </c>
      <c r="G191" s="2" t="s">
        <v>62</v>
      </c>
      <c r="H191" s="2" t="s">
        <v>26</v>
      </c>
      <c r="I191" s="2" t="s">
        <v>37</v>
      </c>
      <c r="J191" s="2" t="s">
        <v>38</v>
      </c>
      <c r="K191" s="2" t="s">
        <v>39</v>
      </c>
      <c r="L191" s="2" t="s">
        <v>47</v>
      </c>
      <c r="M191" s="2" t="n">
        <v>116</v>
      </c>
      <c r="N191" s="3" t="n">
        <v>30</v>
      </c>
      <c r="O191" s="4" t="n">
        <v>28.88</v>
      </c>
      <c r="P191" s="5" t="n">
        <v>2</v>
      </c>
      <c r="Q191" s="2" t="n">
        <v>2</v>
      </c>
      <c r="R191" s="4" t="n">
        <f aca="false">M191*O191</f>
        <v>3350.08</v>
      </c>
      <c r="S191" s="4" t="n">
        <f aca="false">R191*(P191/100)</f>
        <v>67.0016</v>
      </c>
      <c r="T191" s="4" t="n">
        <f aca="false">R191-S191</f>
        <v>3283.0784</v>
      </c>
    </row>
    <row r="192" customFormat="false" ht="15" hidden="false" customHeight="false" outlineLevel="0" collapsed="false">
      <c r="A192" s="2" t="n">
        <v>800191</v>
      </c>
      <c r="B192" s="2" t="s">
        <v>284</v>
      </c>
      <c r="C192" s="2" t="s">
        <v>84</v>
      </c>
      <c r="D192" s="2" t="s">
        <v>119</v>
      </c>
      <c r="E192" s="2" t="s">
        <v>120</v>
      </c>
      <c r="F192" s="2" t="s">
        <v>24</v>
      </c>
      <c r="G192" s="2" t="s">
        <v>25</v>
      </c>
      <c r="H192" s="2" t="s">
        <v>26</v>
      </c>
      <c r="I192" s="2" t="s">
        <v>69</v>
      </c>
      <c r="J192" s="2" t="s">
        <v>114</v>
      </c>
      <c r="K192" s="2" t="s">
        <v>29</v>
      </c>
      <c r="L192" s="2" t="s">
        <v>99</v>
      </c>
      <c r="M192" s="2" t="n">
        <v>376</v>
      </c>
      <c r="N192" s="3" t="n">
        <v>20</v>
      </c>
      <c r="O192" s="4" t="n">
        <v>18.69</v>
      </c>
      <c r="P192" s="5" t="n">
        <v>2</v>
      </c>
      <c r="Q192" s="2" t="n">
        <v>1</v>
      </c>
      <c r="R192" s="4" t="n">
        <f aca="false">M192*O192</f>
        <v>7027.44</v>
      </c>
      <c r="S192" s="4" t="n">
        <f aca="false">R192*(P192/100)</f>
        <v>140.5488</v>
      </c>
      <c r="T192" s="4" t="n">
        <f aca="false">R192-S192</f>
        <v>6886.8912</v>
      </c>
    </row>
    <row r="193" customFormat="false" ht="15" hidden="false" customHeight="false" outlineLevel="0" collapsed="false">
      <c r="A193" s="2" t="n">
        <v>800192</v>
      </c>
      <c r="B193" s="2" t="s">
        <v>236</v>
      </c>
      <c r="C193" s="2" t="s">
        <v>84</v>
      </c>
      <c r="D193" s="2" t="s">
        <v>119</v>
      </c>
      <c r="E193" s="2" t="s">
        <v>201</v>
      </c>
      <c r="F193" s="2" t="s">
        <v>51</v>
      </c>
      <c r="G193" s="2" t="s">
        <v>90</v>
      </c>
      <c r="H193" s="2" t="s">
        <v>26</v>
      </c>
      <c r="I193" s="2" t="s">
        <v>44</v>
      </c>
      <c r="J193" s="2" t="s">
        <v>45</v>
      </c>
      <c r="K193" s="2" t="s">
        <v>111</v>
      </c>
      <c r="L193" s="2" t="s">
        <v>107</v>
      </c>
      <c r="M193" s="2" t="n">
        <v>204</v>
      </c>
      <c r="N193" s="3" t="n">
        <v>10</v>
      </c>
      <c r="O193" s="4" t="n">
        <v>9.22</v>
      </c>
      <c r="P193" s="5" t="n">
        <v>12.5</v>
      </c>
      <c r="Q193" s="2" t="n">
        <v>2</v>
      </c>
      <c r="R193" s="4" t="n">
        <f aca="false">M193*O193</f>
        <v>1880.88</v>
      </c>
      <c r="S193" s="4" t="n">
        <f aca="false">R193*(P193/100)</f>
        <v>235.11</v>
      </c>
      <c r="T193" s="4" t="n">
        <f aca="false">R193-S193</f>
        <v>1645.77</v>
      </c>
    </row>
    <row r="194" customFormat="false" ht="15" hidden="false" customHeight="false" outlineLevel="0" collapsed="false">
      <c r="A194" s="2" t="n">
        <v>800193</v>
      </c>
      <c r="B194" s="2" t="s">
        <v>248</v>
      </c>
      <c r="C194" s="2" t="s">
        <v>41</v>
      </c>
      <c r="D194" s="2" t="s">
        <v>42</v>
      </c>
      <c r="E194" s="2" t="s">
        <v>131</v>
      </c>
      <c r="F194" s="2" t="s">
        <v>87</v>
      </c>
      <c r="G194" s="2" t="s">
        <v>137</v>
      </c>
      <c r="H194" s="2" t="s">
        <v>26</v>
      </c>
      <c r="I194" s="2" t="s">
        <v>57</v>
      </c>
      <c r="J194" s="2" t="s">
        <v>104</v>
      </c>
      <c r="K194" s="2" t="s">
        <v>59</v>
      </c>
      <c r="L194" s="2" t="s">
        <v>53</v>
      </c>
      <c r="M194" s="2" t="n">
        <v>462</v>
      </c>
      <c r="N194" s="3" t="n">
        <v>25</v>
      </c>
      <c r="O194" s="4" t="n">
        <v>22.02</v>
      </c>
      <c r="P194" s="5" t="n">
        <v>0</v>
      </c>
      <c r="Q194" s="2" t="n">
        <v>0</v>
      </c>
      <c r="R194" s="4" t="n">
        <f aca="false">M194*O194</f>
        <v>10173.24</v>
      </c>
      <c r="S194" s="4" t="n">
        <f aca="false">R194*(P194/100)</f>
        <v>0</v>
      </c>
      <c r="T194" s="4" t="n">
        <f aca="false">R194-S194</f>
        <v>10173.24</v>
      </c>
    </row>
    <row r="195" customFormat="false" ht="15" hidden="false" customHeight="false" outlineLevel="0" collapsed="false">
      <c r="A195" s="2" t="n">
        <v>800194</v>
      </c>
      <c r="B195" s="2" t="s">
        <v>83</v>
      </c>
      <c r="C195" s="2" t="s">
        <v>41</v>
      </c>
      <c r="D195" s="2" t="s">
        <v>42</v>
      </c>
      <c r="E195" s="2" t="s">
        <v>131</v>
      </c>
      <c r="F195" s="2" t="s">
        <v>24</v>
      </c>
      <c r="G195" s="2" t="s">
        <v>137</v>
      </c>
      <c r="H195" s="2" t="s">
        <v>26</v>
      </c>
      <c r="I195" s="2" t="s">
        <v>27</v>
      </c>
      <c r="J195" s="2" t="s">
        <v>98</v>
      </c>
      <c r="K195" s="2" t="s">
        <v>46</v>
      </c>
      <c r="L195" s="2" t="s">
        <v>53</v>
      </c>
      <c r="M195" s="2" t="n">
        <v>446</v>
      </c>
      <c r="N195" s="3" t="n">
        <v>99</v>
      </c>
      <c r="O195" s="4" t="n">
        <v>87.56</v>
      </c>
      <c r="P195" s="5" t="n">
        <v>7.5</v>
      </c>
      <c r="Q195" s="2" t="n">
        <v>0</v>
      </c>
      <c r="R195" s="4" t="n">
        <f aca="false">M195*O195</f>
        <v>39051.76</v>
      </c>
      <c r="S195" s="4" t="n">
        <f aca="false">R195*(P195/100)</f>
        <v>2928.882</v>
      </c>
      <c r="T195" s="4" t="n">
        <f aca="false">R195-S195</f>
        <v>36122.878</v>
      </c>
    </row>
    <row r="196" customFormat="false" ht="15" hidden="false" customHeight="false" outlineLevel="0" collapsed="false">
      <c r="A196" s="2" t="n">
        <v>800195</v>
      </c>
      <c r="B196" s="2" t="s">
        <v>285</v>
      </c>
      <c r="C196" s="2" t="s">
        <v>41</v>
      </c>
      <c r="D196" s="2" t="s">
        <v>42</v>
      </c>
      <c r="E196" s="2" t="s">
        <v>131</v>
      </c>
      <c r="F196" s="2" t="s">
        <v>87</v>
      </c>
      <c r="G196" s="2" t="s">
        <v>106</v>
      </c>
      <c r="H196" s="2" t="s">
        <v>26</v>
      </c>
      <c r="I196" s="2" t="s">
        <v>27</v>
      </c>
      <c r="J196" s="2" t="s">
        <v>98</v>
      </c>
      <c r="K196" s="2" t="s">
        <v>46</v>
      </c>
      <c r="L196" s="2" t="s">
        <v>64</v>
      </c>
      <c r="M196" s="2" t="n">
        <v>489</v>
      </c>
      <c r="N196" s="3" t="n">
        <v>99</v>
      </c>
      <c r="O196" s="4" t="n">
        <v>96.48</v>
      </c>
      <c r="P196" s="5" t="n">
        <v>0</v>
      </c>
      <c r="Q196" s="2" t="n">
        <v>3</v>
      </c>
      <c r="R196" s="4" t="n">
        <f aca="false">M196*O196</f>
        <v>47178.72</v>
      </c>
      <c r="S196" s="4" t="n">
        <f aca="false">R196*(P196/100)</f>
        <v>0</v>
      </c>
      <c r="T196" s="4" t="n">
        <f aca="false">R196-S196</f>
        <v>47178.72</v>
      </c>
    </row>
    <row r="197" customFormat="false" ht="15" hidden="false" customHeight="false" outlineLevel="0" collapsed="false">
      <c r="A197" s="2" t="n">
        <v>800196</v>
      </c>
      <c r="B197" s="2" t="s">
        <v>286</v>
      </c>
      <c r="C197" s="2" t="s">
        <v>21</v>
      </c>
      <c r="D197" s="2" t="s">
        <v>22</v>
      </c>
      <c r="E197" s="2" t="s">
        <v>109</v>
      </c>
      <c r="F197" s="2" t="s">
        <v>51</v>
      </c>
      <c r="G197" s="2" t="s">
        <v>106</v>
      </c>
      <c r="H197" s="2" t="s">
        <v>26</v>
      </c>
      <c r="I197" s="2" t="s">
        <v>27</v>
      </c>
      <c r="J197" s="2" t="s">
        <v>28</v>
      </c>
      <c r="K197" s="2" t="s">
        <v>29</v>
      </c>
      <c r="L197" s="2" t="s">
        <v>64</v>
      </c>
      <c r="M197" s="2" t="n">
        <v>24</v>
      </c>
      <c r="N197" s="3" t="n">
        <v>30</v>
      </c>
      <c r="O197" s="4" t="n">
        <v>26.42</v>
      </c>
      <c r="P197" s="5" t="n">
        <v>12.5</v>
      </c>
      <c r="Q197" s="2" t="n">
        <v>1</v>
      </c>
      <c r="R197" s="4" t="n">
        <f aca="false">M197*O197</f>
        <v>634.08</v>
      </c>
      <c r="S197" s="4" t="n">
        <f aca="false">R197*(P197/100)</f>
        <v>79.26</v>
      </c>
      <c r="T197" s="4" t="n">
        <f aca="false">R197-S197</f>
        <v>554.82</v>
      </c>
    </row>
    <row r="198" customFormat="false" ht="15" hidden="false" customHeight="false" outlineLevel="0" collapsed="false">
      <c r="A198" s="2" t="n">
        <v>800197</v>
      </c>
      <c r="B198" s="2" t="s">
        <v>149</v>
      </c>
      <c r="C198" s="2" t="s">
        <v>41</v>
      </c>
      <c r="D198" s="2" t="s">
        <v>49</v>
      </c>
      <c r="E198" s="2" t="s">
        <v>80</v>
      </c>
      <c r="F198" s="2" t="s">
        <v>78</v>
      </c>
      <c r="G198" s="2" t="s">
        <v>36</v>
      </c>
      <c r="H198" s="2" t="s">
        <v>26</v>
      </c>
      <c r="I198" s="2" t="s">
        <v>37</v>
      </c>
      <c r="J198" s="2" t="s">
        <v>38</v>
      </c>
      <c r="K198" s="2" t="s">
        <v>39</v>
      </c>
      <c r="L198" s="2" t="s">
        <v>132</v>
      </c>
      <c r="M198" s="2" t="n">
        <v>28</v>
      </c>
      <c r="N198" s="3" t="n">
        <v>30</v>
      </c>
      <c r="O198" s="4" t="n">
        <v>27.72</v>
      </c>
      <c r="P198" s="5" t="n">
        <v>5</v>
      </c>
      <c r="Q198" s="2" t="n">
        <v>3</v>
      </c>
      <c r="R198" s="4" t="n">
        <f aca="false">M198*O198</f>
        <v>776.16</v>
      </c>
      <c r="S198" s="4" t="n">
        <f aca="false">R198*(P198/100)</f>
        <v>38.808</v>
      </c>
      <c r="T198" s="4" t="n">
        <f aca="false">R198-S198</f>
        <v>737.352</v>
      </c>
    </row>
    <row r="199" customFormat="false" ht="15" hidden="false" customHeight="false" outlineLevel="0" collapsed="false">
      <c r="A199" s="2" t="n">
        <v>800198</v>
      </c>
      <c r="B199" s="2" t="s">
        <v>287</v>
      </c>
      <c r="C199" s="2" t="s">
        <v>21</v>
      </c>
      <c r="D199" s="2" t="s">
        <v>171</v>
      </c>
      <c r="E199" s="2" t="s">
        <v>192</v>
      </c>
      <c r="F199" s="2" t="s">
        <v>24</v>
      </c>
      <c r="G199" s="2" t="s">
        <v>52</v>
      </c>
      <c r="H199" s="2" t="s">
        <v>26</v>
      </c>
      <c r="I199" s="2" t="s">
        <v>69</v>
      </c>
      <c r="J199" s="2" t="s">
        <v>70</v>
      </c>
      <c r="K199" s="2" t="s">
        <v>39</v>
      </c>
      <c r="L199" s="2" t="s">
        <v>99</v>
      </c>
      <c r="M199" s="2" t="n">
        <v>118</v>
      </c>
      <c r="N199" s="3" t="n">
        <v>20</v>
      </c>
      <c r="O199" s="4" t="n">
        <v>18.74</v>
      </c>
      <c r="P199" s="5" t="n">
        <v>5</v>
      </c>
      <c r="Q199" s="2" t="n">
        <v>1</v>
      </c>
      <c r="R199" s="4" t="n">
        <f aca="false">M199*O199</f>
        <v>2211.32</v>
      </c>
      <c r="S199" s="4" t="n">
        <f aca="false">R199*(P199/100)</f>
        <v>110.566</v>
      </c>
      <c r="T199" s="4" t="n">
        <f aca="false">R199-S199</f>
        <v>2100.754</v>
      </c>
    </row>
    <row r="200" customFormat="false" ht="15" hidden="false" customHeight="false" outlineLevel="0" collapsed="false">
      <c r="A200" s="2" t="n">
        <v>800199</v>
      </c>
      <c r="B200" s="2" t="s">
        <v>20</v>
      </c>
      <c r="C200" s="2" t="s">
        <v>41</v>
      </c>
      <c r="D200" s="2" t="s">
        <v>73</v>
      </c>
      <c r="E200" s="2" t="s">
        <v>74</v>
      </c>
      <c r="F200" s="2" t="s">
        <v>51</v>
      </c>
      <c r="G200" s="2" t="s">
        <v>94</v>
      </c>
      <c r="H200" s="2" t="s">
        <v>26</v>
      </c>
      <c r="I200" s="2" t="s">
        <v>37</v>
      </c>
      <c r="J200" s="2" t="s">
        <v>38</v>
      </c>
      <c r="K200" s="2" t="s">
        <v>39</v>
      </c>
      <c r="L200" s="2" t="s">
        <v>99</v>
      </c>
      <c r="M200" s="2" t="n">
        <v>173</v>
      </c>
      <c r="N200" s="3" t="n">
        <v>30</v>
      </c>
      <c r="O200" s="4" t="n">
        <v>28.37</v>
      </c>
      <c r="P200" s="5" t="n">
        <v>0</v>
      </c>
      <c r="Q200" s="2" t="n">
        <v>0</v>
      </c>
      <c r="R200" s="4" t="n">
        <f aca="false">M200*O200</f>
        <v>4908.01</v>
      </c>
      <c r="S200" s="4" t="n">
        <f aca="false">R200*(P200/100)</f>
        <v>0</v>
      </c>
      <c r="T200" s="4" t="n">
        <f aca="false">R200-S200</f>
        <v>4908.01</v>
      </c>
    </row>
    <row r="201" customFormat="false" ht="15" hidden="false" customHeight="false" outlineLevel="0" collapsed="false">
      <c r="A201" s="2" t="n">
        <v>800200</v>
      </c>
      <c r="B201" s="2" t="s">
        <v>288</v>
      </c>
      <c r="C201" s="2" t="s">
        <v>41</v>
      </c>
      <c r="D201" s="2" t="s">
        <v>42</v>
      </c>
      <c r="E201" s="2" t="s">
        <v>43</v>
      </c>
      <c r="F201" s="2" t="s">
        <v>35</v>
      </c>
      <c r="G201" s="2" t="s">
        <v>94</v>
      </c>
      <c r="H201" s="2" t="s">
        <v>26</v>
      </c>
      <c r="I201" s="2" t="s">
        <v>69</v>
      </c>
      <c r="J201" s="2" t="s">
        <v>134</v>
      </c>
      <c r="K201" s="2" t="s">
        <v>39</v>
      </c>
      <c r="L201" s="2" t="s">
        <v>64</v>
      </c>
      <c r="M201" s="2" t="n">
        <v>62</v>
      </c>
      <c r="N201" s="3" t="n">
        <v>20</v>
      </c>
      <c r="O201" s="4" t="n">
        <v>18.4</v>
      </c>
      <c r="P201" s="5" t="n">
        <v>10</v>
      </c>
      <c r="Q201" s="2" t="n">
        <v>1</v>
      </c>
      <c r="R201" s="4" t="n">
        <f aca="false">M201*O201</f>
        <v>1140.8</v>
      </c>
      <c r="S201" s="4" t="n">
        <f aca="false">R201*(P201/100)</f>
        <v>114.08</v>
      </c>
      <c r="T201" s="4" t="n">
        <f aca="false">R201-S201</f>
        <v>1026.72</v>
      </c>
    </row>
    <row r="202" customFormat="false" ht="15" hidden="false" customHeight="false" outlineLevel="0" collapsed="false">
      <c r="A202" s="2" t="n">
        <v>800201</v>
      </c>
      <c r="B202" s="2" t="s">
        <v>289</v>
      </c>
      <c r="C202" s="2" t="s">
        <v>21</v>
      </c>
      <c r="D202" s="2" t="s">
        <v>171</v>
      </c>
      <c r="E202" s="2" t="s">
        <v>172</v>
      </c>
      <c r="F202" s="2" t="s">
        <v>24</v>
      </c>
      <c r="G202" s="2" t="s">
        <v>25</v>
      </c>
      <c r="H202" s="2" t="s">
        <v>26</v>
      </c>
      <c r="I202" s="2" t="s">
        <v>37</v>
      </c>
      <c r="J202" s="2" t="s">
        <v>38</v>
      </c>
      <c r="K202" s="2" t="s">
        <v>39</v>
      </c>
      <c r="L202" s="2" t="s">
        <v>107</v>
      </c>
      <c r="M202" s="2" t="n">
        <v>43</v>
      </c>
      <c r="N202" s="3" t="n">
        <v>30</v>
      </c>
      <c r="O202" s="4" t="n">
        <v>29.38</v>
      </c>
      <c r="P202" s="5" t="n">
        <v>5</v>
      </c>
      <c r="Q202" s="2" t="n">
        <v>3</v>
      </c>
      <c r="R202" s="4" t="n">
        <f aca="false">M202*O202</f>
        <v>1263.34</v>
      </c>
      <c r="S202" s="4" t="n">
        <f aca="false">R202*(P202/100)</f>
        <v>63.167</v>
      </c>
      <c r="T202" s="4" t="n">
        <f aca="false">R202-S202</f>
        <v>1200.173</v>
      </c>
    </row>
    <row r="203" customFormat="false" ht="15" hidden="false" customHeight="false" outlineLevel="0" collapsed="false">
      <c r="A203" s="2" t="n">
        <v>800202</v>
      </c>
      <c r="B203" s="2" t="s">
        <v>290</v>
      </c>
      <c r="C203" s="2" t="s">
        <v>21</v>
      </c>
      <c r="D203" s="2" t="s">
        <v>116</v>
      </c>
      <c r="E203" s="2" t="s">
        <v>170</v>
      </c>
      <c r="F203" s="2" t="s">
        <v>78</v>
      </c>
      <c r="G203" s="2" t="s">
        <v>25</v>
      </c>
      <c r="H203" s="2" t="s">
        <v>26</v>
      </c>
      <c r="I203" s="2" t="s">
        <v>37</v>
      </c>
      <c r="J203" s="2" t="s">
        <v>38</v>
      </c>
      <c r="K203" s="2" t="s">
        <v>39</v>
      </c>
      <c r="L203" s="2" t="s">
        <v>161</v>
      </c>
      <c r="M203" s="2" t="n">
        <v>495</v>
      </c>
      <c r="N203" s="3" t="n">
        <v>30</v>
      </c>
      <c r="O203" s="4" t="n">
        <v>25.82</v>
      </c>
      <c r="P203" s="5" t="n">
        <v>0</v>
      </c>
      <c r="Q203" s="2" t="n">
        <v>0</v>
      </c>
      <c r="R203" s="4" t="n">
        <f aca="false">M203*O203</f>
        <v>12780.9</v>
      </c>
      <c r="S203" s="4" t="n">
        <f aca="false">R203*(P203/100)</f>
        <v>0</v>
      </c>
      <c r="T203" s="4" t="n">
        <f aca="false">R203-S203</f>
        <v>12780.9</v>
      </c>
    </row>
    <row r="204" customFormat="false" ht="15" hidden="false" customHeight="false" outlineLevel="0" collapsed="false">
      <c r="A204" s="2" t="n">
        <v>800203</v>
      </c>
      <c r="B204" s="2" t="s">
        <v>174</v>
      </c>
      <c r="C204" s="2" t="s">
        <v>41</v>
      </c>
      <c r="D204" s="2" t="s">
        <v>49</v>
      </c>
      <c r="E204" s="2" t="s">
        <v>80</v>
      </c>
      <c r="F204" s="2" t="s">
        <v>51</v>
      </c>
      <c r="G204" s="2" t="s">
        <v>125</v>
      </c>
      <c r="H204" s="2" t="s">
        <v>26</v>
      </c>
      <c r="I204" s="2" t="s">
        <v>27</v>
      </c>
      <c r="J204" s="2" t="s">
        <v>28</v>
      </c>
      <c r="K204" s="2" t="s">
        <v>29</v>
      </c>
      <c r="L204" s="2" t="s">
        <v>30</v>
      </c>
      <c r="M204" s="2" t="n">
        <v>401</v>
      </c>
      <c r="N204" s="3" t="n">
        <v>30</v>
      </c>
      <c r="O204" s="4" t="n">
        <v>29.59</v>
      </c>
      <c r="P204" s="5" t="n">
        <v>0</v>
      </c>
      <c r="Q204" s="2" t="n">
        <v>0</v>
      </c>
      <c r="R204" s="4" t="n">
        <f aca="false">M204*O204</f>
        <v>11865.59</v>
      </c>
      <c r="S204" s="4" t="n">
        <f aca="false">R204*(P204/100)</f>
        <v>0</v>
      </c>
      <c r="T204" s="4" t="n">
        <f aca="false">R204-S204</f>
        <v>11865.59</v>
      </c>
    </row>
    <row r="205" customFormat="false" ht="15" hidden="false" customHeight="false" outlineLevel="0" collapsed="false">
      <c r="A205" s="2" t="n">
        <v>800204</v>
      </c>
      <c r="B205" s="2" t="s">
        <v>291</v>
      </c>
      <c r="C205" s="2" t="s">
        <v>32</v>
      </c>
      <c r="D205" s="2" t="s">
        <v>66</v>
      </c>
      <c r="E205" s="2" t="s">
        <v>67</v>
      </c>
      <c r="F205" s="2" t="s">
        <v>35</v>
      </c>
      <c r="G205" s="2" t="s">
        <v>143</v>
      </c>
      <c r="H205" s="2" t="s">
        <v>26</v>
      </c>
      <c r="I205" s="2" t="s">
        <v>37</v>
      </c>
      <c r="J205" s="2" t="s">
        <v>38</v>
      </c>
      <c r="K205" s="2" t="s">
        <v>39</v>
      </c>
      <c r="L205" s="2" t="s">
        <v>82</v>
      </c>
      <c r="M205" s="2" t="n">
        <v>35</v>
      </c>
      <c r="N205" s="3" t="n">
        <v>30</v>
      </c>
      <c r="O205" s="4" t="n">
        <v>28.16</v>
      </c>
      <c r="P205" s="5" t="n">
        <v>12.5</v>
      </c>
      <c r="Q205" s="2" t="n">
        <v>2</v>
      </c>
      <c r="R205" s="4" t="n">
        <f aca="false">M205*O205</f>
        <v>985.6</v>
      </c>
      <c r="S205" s="4" t="n">
        <f aca="false">R205*(P205/100)</f>
        <v>123.2</v>
      </c>
      <c r="T205" s="4" t="n">
        <f aca="false">R205-S205</f>
        <v>862.4</v>
      </c>
    </row>
    <row r="206" customFormat="false" ht="15" hidden="false" customHeight="false" outlineLevel="0" collapsed="false">
      <c r="A206" s="2" t="n">
        <v>800205</v>
      </c>
      <c r="B206" s="2" t="s">
        <v>292</v>
      </c>
      <c r="C206" s="2" t="s">
        <v>84</v>
      </c>
      <c r="D206" s="2" t="s">
        <v>164</v>
      </c>
      <c r="E206" s="2" t="s">
        <v>165</v>
      </c>
      <c r="F206" s="2" t="s">
        <v>24</v>
      </c>
      <c r="G206" s="2" t="s">
        <v>62</v>
      </c>
      <c r="H206" s="2" t="s">
        <v>26</v>
      </c>
      <c r="I206" s="2" t="s">
        <v>37</v>
      </c>
      <c r="J206" s="2" t="s">
        <v>38</v>
      </c>
      <c r="K206" s="2" t="s">
        <v>39</v>
      </c>
      <c r="L206" s="2" t="s">
        <v>47</v>
      </c>
      <c r="M206" s="2" t="n">
        <v>415</v>
      </c>
      <c r="N206" s="3" t="n">
        <v>30</v>
      </c>
      <c r="O206" s="4" t="n">
        <v>28.1</v>
      </c>
      <c r="P206" s="5" t="n">
        <v>2</v>
      </c>
      <c r="Q206" s="2" t="n">
        <v>0</v>
      </c>
      <c r="R206" s="4" t="n">
        <f aca="false">M206*O206</f>
        <v>11661.5</v>
      </c>
      <c r="S206" s="4" t="n">
        <f aca="false">R206*(P206/100)</f>
        <v>233.23</v>
      </c>
      <c r="T206" s="4" t="n">
        <f aca="false">R206-S206</f>
        <v>11428.27</v>
      </c>
    </row>
    <row r="207" customFormat="false" ht="15" hidden="false" customHeight="false" outlineLevel="0" collapsed="false">
      <c r="A207" s="2" t="n">
        <v>800206</v>
      </c>
      <c r="B207" s="2" t="s">
        <v>293</v>
      </c>
      <c r="C207" s="2" t="s">
        <v>84</v>
      </c>
      <c r="D207" s="2" t="s">
        <v>85</v>
      </c>
      <c r="E207" s="2" t="s">
        <v>124</v>
      </c>
      <c r="F207" s="2" t="s">
        <v>24</v>
      </c>
      <c r="G207" s="2" t="s">
        <v>125</v>
      </c>
      <c r="H207" s="2" t="s">
        <v>26</v>
      </c>
      <c r="I207" s="2" t="s">
        <v>57</v>
      </c>
      <c r="J207" s="2" t="s">
        <v>58</v>
      </c>
      <c r="K207" s="2" t="s">
        <v>59</v>
      </c>
      <c r="L207" s="2" t="s">
        <v>82</v>
      </c>
      <c r="M207" s="2" t="n">
        <v>74</v>
      </c>
      <c r="N207" s="3" t="n">
        <v>20</v>
      </c>
      <c r="O207" s="4" t="n">
        <v>17.26</v>
      </c>
      <c r="P207" s="5" t="n">
        <v>5</v>
      </c>
      <c r="Q207" s="2" t="n">
        <v>2</v>
      </c>
      <c r="R207" s="4" t="n">
        <f aca="false">M207*O207</f>
        <v>1277.24</v>
      </c>
      <c r="S207" s="4" t="n">
        <f aca="false">R207*(P207/100)</f>
        <v>63.862</v>
      </c>
      <c r="T207" s="4" t="n">
        <f aca="false">R207-S207</f>
        <v>1213.378</v>
      </c>
    </row>
    <row r="208" customFormat="false" ht="15" hidden="false" customHeight="false" outlineLevel="0" collapsed="false">
      <c r="A208" s="2" t="n">
        <v>800207</v>
      </c>
      <c r="B208" s="2" t="s">
        <v>294</v>
      </c>
      <c r="C208" s="2" t="s">
        <v>84</v>
      </c>
      <c r="D208" s="2" t="s">
        <v>128</v>
      </c>
      <c r="E208" s="2" t="s">
        <v>129</v>
      </c>
      <c r="F208" s="2" t="s">
        <v>78</v>
      </c>
      <c r="G208" s="2" t="s">
        <v>106</v>
      </c>
      <c r="H208" s="2" t="s">
        <v>26</v>
      </c>
      <c r="I208" s="2" t="s">
        <v>57</v>
      </c>
      <c r="J208" s="2" t="s">
        <v>58</v>
      </c>
      <c r="K208" s="2" t="s">
        <v>59</v>
      </c>
      <c r="L208" s="2" t="s">
        <v>30</v>
      </c>
      <c r="M208" s="2" t="n">
        <v>304</v>
      </c>
      <c r="N208" s="3" t="n">
        <v>20</v>
      </c>
      <c r="O208" s="4" t="n">
        <v>18.43</v>
      </c>
      <c r="P208" s="5" t="n">
        <v>0</v>
      </c>
      <c r="Q208" s="2" t="n">
        <v>0</v>
      </c>
      <c r="R208" s="4" t="n">
        <f aca="false">M208*O208</f>
        <v>5602.72</v>
      </c>
      <c r="S208" s="4" t="n">
        <f aca="false">R208*(P208/100)</f>
        <v>0</v>
      </c>
      <c r="T208" s="4" t="n">
        <f aca="false">R208-S208</f>
        <v>5602.72</v>
      </c>
    </row>
    <row r="209" customFormat="false" ht="15" hidden="false" customHeight="false" outlineLevel="0" collapsed="false">
      <c r="A209" s="2" t="n">
        <v>800208</v>
      </c>
      <c r="B209" s="2" t="s">
        <v>295</v>
      </c>
      <c r="C209" s="2" t="s">
        <v>84</v>
      </c>
      <c r="D209" s="2" t="s">
        <v>128</v>
      </c>
      <c r="E209" s="2" t="s">
        <v>199</v>
      </c>
      <c r="F209" s="2" t="s">
        <v>51</v>
      </c>
      <c r="G209" s="2" t="s">
        <v>36</v>
      </c>
      <c r="H209" s="2" t="s">
        <v>26</v>
      </c>
      <c r="I209" s="2" t="s">
        <v>44</v>
      </c>
      <c r="J209" s="2" t="s">
        <v>45</v>
      </c>
      <c r="K209" s="2" t="s">
        <v>111</v>
      </c>
      <c r="L209" s="2" t="s">
        <v>161</v>
      </c>
      <c r="M209" s="2" t="n">
        <v>418</v>
      </c>
      <c r="N209" s="3" t="n">
        <v>10</v>
      </c>
      <c r="O209" s="4" t="n">
        <v>8.62</v>
      </c>
      <c r="P209" s="5" t="n">
        <v>2</v>
      </c>
      <c r="Q209" s="2" t="n">
        <v>3</v>
      </c>
      <c r="R209" s="4" t="n">
        <f aca="false">M209*O209</f>
        <v>3603.16</v>
      </c>
      <c r="S209" s="4" t="n">
        <f aca="false">R209*(P209/100)</f>
        <v>72.0632</v>
      </c>
      <c r="T209" s="4" t="n">
        <f aca="false">R209-S209</f>
        <v>3531.0968</v>
      </c>
    </row>
    <row r="210" customFormat="false" ht="15" hidden="false" customHeight="false" outlineLevel="0" collapsed="false">
      <c r="A210" s="2" t="n">
        <v>800209</v>
      </c>
      <c r="B210" s="2" t="s">
        <v>296</v>
      </c>
      <c r="C210" s="2" t="s">
        <v>41</v>
      </c>
      <c r="D210" s="2" t="s">
        <v>73</v>
      </c>
      <c r="E210" s="2" t="s">
        <v>136</v>
      </c>
      <c r="F210" s="2" t="s">
        <v>87</v>
      </c>
      <c r="G210" s="2" t="s">
        <v>68</v>
      </c>
      <c r="H210" s="2" t="s">
        <v>26</v>
      </c>
      <c r="I210" s="2" t="s">
        <v>44</v>
      </c>
      <c r="J210" s="2" t="s">
        <v>45</v>
      </c>
      <c r="K210" s="2" t="s">
        <v>111</v>
      </c>
      <c r="L210" s="2" t="s">
        <v>64</v>
      </c>
      <c r="M210" s="2" t="n">
        <v>52</v>
      </c>
      <c r="N210" s="3" t="n">
        <v>10</v>
      </c>
      <c r="O210" s="4" t="n">
        <v>8.73</v>
      </c>
      <c r="P210" s="5" t="n">
        <v>5</v>
      </c>
      <c r="Q210" s="2" t="n">
        <v>1</v>
      </c>
      <c r="R210" s="4" t="n">
        <f aca="false">M210*O210</f>
        <v>453.96</v>
      </c>
      <c r="S210" s="4" t="n">
        <f aca="false">R210*(P210/100)</f>
        <v>22.698</v>
      </c>
      <c r="T210" s="4" t="n">
        <f aca="false">R210-S210</f>
        <v>431.262</v>
      </c>
    </row>
    <row r="211" customFormat="false" ht="15" hidden="false" customHeight="false" outlineLevel="0" collapsed="false">
      <c r="A211" s="2" t="n">
        <v>800210</v>
      </c>
      <c r="B211" s="2" t="s">
        <v>297</v>
      </c>
      <c r="C211" s="2" t="s">
        <v>41</v>
      </c>
      <c r="D211" s="2" t="s">
        <v>73</v>
      </c>
      <c r="E211" s="2" t="s">
        <v>74</v>
      </c>
      <c r="F211" s="2" t="s">
        <v>87</v>
      </c>
      <c r="G211" s="2" t="s">
        <v>25</v>
      </c>
      <c r="H211" s="2" t="s">
        <v>26</v>
      </c>
      <c r="I211" s="2" t="s">
        <v>57</v>
      </c>
      <c r="J211" s="2" t="s">
        <v>104</v>
      </c>
      <c r="K211" s="2" t="s">
        <v>59</v>
      </c>
      <c r="L211" s="2" t="s">
        <v>60</v>
      </c>
      <c r="M211" s="2" t="n">
        <v>74</v>
      </c>
      <c r="N211" s="3" t="n">
        <v>25</v>
      </c>
      <c r="O211" s="4" t="n">
        <v>21.72</v>
      </c>
      <c r="P211" s="5" t="n">
        <v>0</v>
      </c>
      <c r="Q211" s="2" t="n">
        <v>1</v>
      </c>
      <c r="R211" s="4" t="n">
        <f aca="false">M211*O211</f>
        <v>1607.28</v>
      </c>
      <c r="S211" s="4" t="n">
        <f aca="false">R211*(P211/100)</f>
        <v>0</v>
      </c>
      <c r="T211" s="4" t="n">
        <f aca="false">R211-S211</f>
        <v>1607.28</v>
      </c>
    </row>
    <row r="212" customFormat="false" ht="15" hidden="false" customHeight="false" outlineLevel="0" collapsed="false">
      <c r="A212" s="2" t="n">
        <v>800211</v>
      </c>
      <c r="B212" s="2" t="s">
        <v>247</v>
      </c>
      <c r="C212" s="2" t="s">
        <v>41</v>
      </c>
      <c r="D212" s="2" t="s">
        <v>42</v>
      </c>
      <c r="E212" s="2" t="s">
        <v>43</v>
      </c>
      <c r="F212" s="2" t="s">
        <v>87</v>
      </c>
      <c r="G212" s="2" t="s">
        <v>103</v>
      </c>
      <c r="H212" s="2" t="s">
        <v>26</v>
      </c>
      <c r="I212" s="2" t="s">
        <v>37</v>
      </c>
      <c r="J212" s="2" t="s">
        <v>38</v>
      </c>
      <c r="K212" s="2" t="s">
        <v>39</v>
      </c>
      <c r="L212" s="2" t="s">
        <v>107</v>
      </c>
      <c r="M212" s="2" t="n">
        <v>184</v>
      </c>
      <c r="N212" s="3" t="n">
        <v>30</v>
      </c>
      <c r="O212" s="4" t="n">
        <v>28.03</v>
      </c>
      <c r="P212" s="5" t="n">
        <v>2</v>
      </c>
      <c r="Q212" s="2" t="n">
        <v>2</v>
      </c>
      <c r="R212" s="4" t="n">
        <f aca="false">M212*O212</f>
        <v>5157.52</v>
      </c>
      <c r="S212" s="4" t="n">
        <f aca="false">R212*(P212/100)</f>
        <v>103.1504</v>
      </c>
      <c r="T212" s="4" t="n">
        <f aca="false">R212-S212</f>
        <v>5054.3696</v>
      </c>
    </row>
    <row r="213" customFormat="false" ht="15" hidden="false" customHeight="false" outlineLevel="0" collapsed="false">
      <c r="A213" s="2" t="n">
        <v>800212</v>
      </c>
      <c r="B213" s="2" t="s">
        <v>185</v>
      </c>
      <c r="C213" s="2" t="s">
        <v>32</v>
      </c>
      <c r="D213" s="2" t="s">
        <v>151</v>
      </c>
      <c r="E213" s="2" t="s">
        <v>152</v>
      </c>
      <c r="F213" s="2" t="s">
        <v>87</v>
      </c>
      <c r="G213" s="2" t="s">
        <v>125</v>
      </c>
      <c r="H213" s="2" t="s">
        <v>26</v>
      </c>
      <c r="I213" s="2" t="s">
        <v>57</v>
      </c>
      <c r="J213" s="2" t="s">
        <v>104</v>
      </c>
      <c r="K213" s="2" t="s">
        <v>59</v>
      </c>
      <c r="L213" s="2" t="s">
        <v>82</v>
      </c>
      <c r="M213" s="2" t="n">
        <v>212</v>
      </c>
      <c r="N213" s="3" t="n">
        <v>25</v>
      </c>
      <c r="O213" s="4" t="n">
        <v>22.23</v>
      </c>
      <c r="P213" s="5" t="n">
        <v>10</v>
      </c>
      <c r="Q213" s="2" t="n">
        <v>1</v>
      </c>
      <c r="R213" s="4" t="n">
        <f aca="false">M213*O213</f>
        <v>4712.76</v>
      </c>
      <c r="S213" s="4" t="n">
        <f aca="false">R213*(P213/100)</f>
        <v>471.276</v>
      </c>
      <c r="T213" s="4" t="n">
        <f aca="false">R213-S213</f>
        <v>4241.484</v>
      </c>
    </row>
    <row r="214" customFormat="false" ht="15" hidden="false" customHeight="false" outlineLevel="0" collapsed="false">
      <c r="A214" s="2" t="n">
        <v>800213</v>
      </c>
      <c r="B214" s="2" t="s">
        <v>298</v>
      </c>
      <c r="C214" s="2" t="s">
        <v>32</v>
      </c>
      <c r="D214" s="2" t="s">
        <v>76</v>
      </c>
      <c r="E214" s="2" t="s">
        <v>96</v>
      </c>
      <c r="F214" s="2" t="s">
        <v>35</v>
      </c>
      <c r="G214" s="2" t="s">
        <v>36</v>
      </c>
      <c r="H214" s="2" t="s">
        <v>26</v>
      </c>
      <c r="I214" s="2" t="s">
        <v>57</v>
      </c>
      <c r="J214" s="2" t="s">
        <v>104</v>
      </c>
      <c r="K214" s="2" t="s">
        <v>59</v>
      </c>
      <c r="L214" s="2" t="s">
        <v>60</v>
      </c>
      <c r="M214" s="2" t="n">
        <v>428</v>
      </c>
      <c r="N214" s="3" t="n">
        <v>25</v>
      </c>
      <c r="O214" s="4" t="n">
        <v>22.27</v>
      </c>
      <c r="P214" s="5" t="n">
        <v>0</v>
      </c>
      <c r="Q214" s="2" t="n">
        <v>1</v>
      </c>
      <c r="R214" s="4" t="n">
        <f aca="false">M214*O214</f>
        <v>9531.56</v>
      </c>
      <c r="S214" s="4" t="n">
        <f aca="false">R214*(P214/100)</f>
        <v>0</v>
      </c>
      <c r="T214" s="4" t="n">
        <f aca="false">R214-S214</f>
        <v>9531.56</v>
      </c>
    </row>
    <row r="215" customFormat="false" ht="15" hidden="false" customHeight="false" outlineLevel="0" collapsed="false">
      <c r="A215" s="2" t="n">
        <v>800214</v>
      </c>
      <c r="B215" s="2" t="s">
        <v>299</v>
      </c>
      <c r="C215" s="2" t="s">
        <v>41</v>
      </c>
      <c r="D215" s="2" t="s">
        <v>73</v>
      </c>
      <c r="E215" s="2" t="s">
        <v>167</v>
      </c>
      <c r="F215" s="2" t="s">
        <v>87</v>
      </c>
      <c r="G215" s="2" t="s">
        <v>25</v>
      </c>
      <c r="H215" s="2" t="s">
        <v>26</v>
      </c>
      <c r="I215" s="2" t="s">
        <v>44</v>
      </c>
      <c r="J215" s="2" t="s">
        <v>126</v>
      </c>
      <c r="K215" s="2" t="s">
        <v>71</v>
      </c>
      <c r="L215" s="2" t="s">
        <v>64</v>
      </c>
      <c r="M215" s="2" t="n">
        <v>386</v>
      </c>
      <c r="N215" s="3" t="n">
        <v>20</v>
      </c>
      <c r="O215" s="4" t="n">
        <v>18.18</v>
      </c>
      <c r="P215" s="5" t="n">
        <v>10</v>
      </c>
      <c r="Q215" s="2" t="n">
        <v>0</v>
      </c>
      <c r="R215" s="4" t="n">
        <f aca="false">M215*O215</f>
        <v>7017.48</v>
      </c>
      <c r="S215" s="4" t="n">
        <f aca="false">R215*(P215/100)</f>
        <v>701.748</v>
      </c>
      <c r="T215" s="4" t="n">
        <f aca="false">R215-S215</f>
        <v>6315.732</v>
      </c>
    </row>
    <row r="216" customFormat="false" ht="15" hidden="false" customHeight="false" outlineLevel="0" collapsed="false">
      <c r="A216" s="2" t="n">
        <v>800215</v>
      </c>
      <c r="B216" s="2" t="s">
        <v>100</v>
      </c>
      <c r="C216" s="2" t="s">
        <v>41</v>
      </c>
      <c r="D216" s="2" t="s">
        <v>49</v>
      </c>
      <c r="E216" s="2" t="s">
        <v>80</v>
      </c>
      <c r="F216" s="2" t="s">
        <v>35</v>
      </c>
      <c r="G216" s="2" t="s">
        <v>90</v>
      </c>
      <c r="H216" s="2" t="s">
        <v>26</v>
      </c>
      <c r="I216" s="2" t="s">
        <v>57</v>
      </c>
      <c r="J216" s="2" t="s">
        <v>104</v>
      </c>
      <c r="K216" s="2" t="s">
        <v>59</v>
      </c>
      <c r="L216" s="2" t="s">
        <v>82</v>
      </c>
      <c r="M216" s="2" t="n">
        <v>379</v>
      </c>
      <c r="N216" s="3" t="n">
        <v>25</v>
      </c>
      <c r="O216" s="4" t="n">
        <v>24.38</v>
      </c>
      <c r="P216" s="5" t="n">
        <v>0</v>
      </c>
      <c r="Q216" s="2" t="n">
        <v>0</v>
      </c>
      <c r="R216" s="4" t="n">
        <f aca="false">M216*O216</f>
        <v>9240.02</v>
      </c>
      <c r="S216" s="4" t="n">
        <f aca="false">R216*(P216/100)</f>
        <v>0</v>
      </c>
      <c r="T216" s="4" t="n">
        <f aca="false">R216-S216</f>
        <v>9240.02</v>
      </c>
    </row>
    <row r="217" customFormat="false" ht="15" hidden="false" customHeight="false" outlineLevel="0" collapsed="false">
      <c r="A217" s="2" t="n">
        <v>800216</v>
      </c>
      <c r="B217" s="2" t="s">
        <v>222</v>
      </c>
      <c r="C217" s="2" t="s">
        <v>84</v>
      </c>
      <c r="D217" s="2" t="s">
        <v>85</v>
      </c>
      <c r="E217" s="2" t="s">
        <v>86</v>
      </c>
      <c r="F217" s="2" t="s">
        <v>35</v>
      </c>
      <c r="G217" s="2" t="s">
        <v>62</v>
      </c>
      <c r="H217" s="2" t="s">
        <v>26</v>
      </c>
      <c r="I217" s="2" t="s">
        <v>57</v>
      </c>
      <c r="J217" s="2" t="s">
        <v>58</v>
      </c>
      <c r="K217" s="2" t="s">
        <v>59</v>
      </c>
      <c r="L217" s="2" t="s">
        <v>161</v>
      </c>
      <c r="M217" s="2" t="n">
        <v>74</v>
      </c>
      <c r="N217" s="3" t="n">
        <v>20</v>
      </c>
      <c r="O217" s="4" t="n">
        <v>17.03</v>
      </c>
      <c r="P217" s="5" t="n">
        <v>5</v>
      </c>
      <c r="Q217" s="2" t="n">
        <v>0</v>
      </c>
      <c r="R217" s="4" t="n">
        <f aca="false">M217*O217</f>
        <v>1260.22</v>
      </c>
      <c r="S217" s="4" t="n">
        <f aca="false">R217*(P217/100)</f>
        <v>63.011</v>
      </c>
      <c r="T217" s="4" t="n">
        <f aca="false">R217-S217</f>
        <v>1197.209</v>
      </c>
    </row>
    <row r="218" customFormat="false" ht="15" hidden="false" customHeight="false" outlineLevel="0" collapsed="false">
      <c r="A218" s="2" t="n">
        <v>800217</v>
      </c>
      <c r="B218" s="2" t="s">
        <v>300</v>
      </c>
      <c r="C218" s="2" t="s">
        <v>32</v>
      </c>
      <c r="D218" s="2" t="s">
        <v>151</v>
      </c>
      <c r="E218" s="2" t="s">
        <v>152</v>
      </c>
      <c r="F218" s="2" t="s">
        <v>51</v>
      </c>
      <c r="G218" s="2" t="s">
        <v>94</v>
      </c>
      <c r="H218" s="2" t="s">
        <v>26</v>
      </c>
      <c r="I218" s="2" t="s">
        <v>37</v>
      </c>
      <c r="J218" s="2" t="s">
        <v>38</v>
      </c>
      <c r="K218" s="2" t="s">
        <v>39</v>
      </c>
      <c r="L218" s="2" t="s">
        <v>82</v>
      </c>
      <c r="M218" s="2" t="n">
        <v>32</v>
      </c>
      <c r="N218" s="3" t="n">
        <v>30</v>
      </c>
      <c r="O218" s="4" t="n">
        <v>27.53</v>
      </c>
      <c r="P218" s="5" t="n">
        <v>5</v>
      </c>
      <c r="Q218" s="2" t="n">
        <v>1</v>
      </c>
      <c r="R218" s="4" t="n">
        <f aca="false">M218*O218</f>
        <v>880.96</v>
      </c>
      <c r="S218" s="4" t="n">
        <f aca="false">R218*(P218/100)</f>
        <v>44.048</v>
      </c>
      <c r="T218" s="4" t="n">
        <f aca="false">R218-S218</f>
        <v>836.912</v>
      </c>
    </row>
    <row r="219" customFormat="false" ht="15" hidden="false" customHeight="false" outlineLevel="0" collapsed="false">
      <c r="A219" s="2" t="n">
        <v>800218</v>
      </c>
      <c r="B219" s="2" t="s">
        <v>146</v>
      </c>
      <c r="C219" s="2" t="s">
        <v>21</v>
      </c>
      <c r="D219" s="2" t="s">
        <v>116</v>
      </c>
      <c r="E219" s="2" t="s">
        <v>170</v>
      </c>
      <c r="F219" s="2" t="s">
        <v>87</v>
      </c>
      <c r="G219" s="2" t="s">
        <v>137</v>
      </c>
      <c r="H219" s="2" t="s">
        <v>26</v>
      </c>
      <c r="I219" s="2" t="s">
        <v>57</v>
      </c>
      <c r="J219" s="2" t="s">
        <v>104</v>
      </c>
      <c r="K219" s="2" t="s">
        <v>59</v>
      </c>
      <c r="L219" s="2" t="s">
        <v>30</v>
      </c>
      <c r="M219" s="2" t="n">
        <v>267</v>
      </c>
      <c r="N219" s="3" t="n">
        <v>25</v>
      </c>
      <c r="O219" s="4" t="n">
        <v>22.47</v>
      </c>
      <c r="P219" s="5" t="n">
        <v>0</v>
      </c>
      <c r="Q219" s="2" t="n">
        <v>2</v>
      </c>
      <c r="R219" s="4" t="n">
        <f aca="false">M219*O219</f>
        <v>5999.49</v>
      </c>
      <c r="S219" s="4" t="n">
        <f aca="false">R219*(P219/100)</f>
        <v>0</v>
      </c>
      <c r="T219" s="4" t="n">
        <f aca="false">R219-S219</f>
        <v>5999.49</v>
      </c>
    </row>
    <row r="220" customFormat="false" ht="15" hidden="false" customHeight="false" outlineLevel="0" collapsed="false">
      <c r="A220" s="2" t="n">
        <v>800219</v>
      </c>
      <c r="B220" s="2" t="s">
        <v>301</v>
      </c>
      <c r="C220" s="2" t="s">
        <v>41</v>
      </c>
      <c r="D220" s="2" t="s">
        <v>42</v>
      </c>
      <c r="E220" s="2" t="s">
        <v>131</v>
      </c>
      <c r="F220" s="2" t="s">
        <v>87</v>
      </c>
      <c r="G220" s="2" t="s">
        <v>36</v>
      </c>
      <c r="H220" s="2" t="s">
        <v>26</v>
      </c>
      <c r="I220" s="2" t="s">
        <v>69</v>
      </c>
      <c r="J220" s="2" t="s">
        <v>134</v>
      </c>
      <c r="K220" s="2" t="s">
        <v>39</v>
      </c>
      <c r="L220" s="2" t="s">
        <v>82</v>
      </c>
      <c r="M220" s="2" t="n">
        <v>351</v>
      </c>
      <c r="N220" s="3" t="n">
        <v>20</v>
      </c>
      <c r="O220" s="4" t="n">
        <v>17.31</v>
      </c>
      <c r="P220" s="5" t="n">
        <v>0</v>
      </c>
      <c r="Q220" s="2" t="n">
        <v>0</v>
      </c>
      <c r="R220" s="4" t="n">
        <f aca="false">M220*O220</f>
        <v>6075.81</v>
      </c>
      <c r="S220" s="4" t="n">
        <f aca="false">R220*(P220/100)</f>
        <v>0</v>
      </c>
      <c r="T220" s="4" t="n">
        <f aca="false">R220-S220</f>
        <v>6075.81</v>
      </c>
    </row>
    <row r="221" customFormat="false" ht="15" hidden="false" customHeight="false" outlineLevel="0" collapsed="false">
      <c r="A221" s="2" t="n">
        <v>800220</v>
      </c>
      <c r="B221" s="2" t="s">
        <v>302</v>
      </c>
      <c r="C221" s="2" t="s">
        <v>32</v>
      </c>
      <c r="D221" s="2" t="s">
        <v>76</v>
      </c>
      <c r="E221" s="2" t="s">
        <v>96</v>
      </c>
      <c r="F221" s="2" t="s">
        <v>87</v>
      </c>
      <c r="G221" s="2" t="s">
        <v>90</v>
      </c>
      <c r="H221" s="2" t="s">
        <v>26</v>
      </c>
      <c r="I221" s="2" t="s">
        <v>57</v>
      </c>
      <c r="J221" s="2" t="s">
        <v>58</v>
      </c>
      <c r="K221" s="2" t="s">
        <v>59</v>
      </c>
      <c r="L221" s="2" t="s">
        <v>99</v>
      </c>
      <c r="M221" s="2" t="n">
        <v>428</v>
      </c>
      <c r="N221" s="3" t="n">
        <v>20</v>
      </c>
      <c r="O221" s="4" t="n">
        <v>18.13</v>
      </c>
      <c r="P221" s="5" t="n">
        <v>0</v>
      </c>
      <c r="Q221" s="2" t="n">
        <v>0</v>
      </c>
      <c r="R221" s="4" t="n">
        <f aca="false">M221*O221</f>
        <v>7759.64</v>
      </c>
      <c r="S221" s="4" t="n">
        <f aca="false">R221*(P221/100)</f>
        <v>0</v>
      </c>
      <c r="T221" s="4" t="n">
        <f aca="false">R221-S221</f>
        <v>7759.64</v>
      </c>
    </row>
    <row r="222" customFormat="false" ht="15" hidden="false" customHeight="false" outlineLevel="0" collapsed="false">
      <c r="A222" s="2" t="n">
        <v>800221</v>
      </c>
      <c r="B222" s="2" t="s">
        <v>303</v>
      </c>
      <c r="C222" s="2" t="s">
        <v>41</v>
      </c>
      <c r="D222" s="2" t="s">
        <v>42</v>
      </c>
      <c r="E222" s="2" t="s">
        <v>131</v>
      </c>
      <c r="F222" s="2" t="s">
        <v>35</v>
      </c>
      <c r="G222" s="2" t="s">
        <v>25</v>
      </c>
      <c r="H222" s="2" t="s">
        <v>26</v>
      </c>
      <c r="I222" s="2" t="s">
        <v>57</v>
      </c>
      <c r="J222" s="2" t="s">
        <v>58</v>
      </c>
      <c r="K222" s="2" t="s">
        <v>59</v>
      </c>
      <c r="L222" s="2" t="s">
        <v>161</v>
      </c>
      <c r="M222" s="2" t="n">
        <v>22</v>
      </c>
      <c r="N222" s="3" t="n">
        <v>20</v>
      </c>
      <c r="O222" s="4" t="n">
        <v>18.97</v>
      </c>
      <c r="P222" s="5" t="n">
        <v>2</v>
      </c>
      <c r="Q222" s="2" t="n">
        <v>0</v>
      </c>
      <c r="R222" s="4" t="n">
        <f aca="false">M222*O222</f>
        <v>417.34</v>
      </c>
      <c r="S222" s="4" t="n">
        <f aca="false">R222*(P222/100)</f>
        <v>8.3468</v>
      </c>
      <c r="T222" s="4" t="n">
        <f aca="false">R222-S222</f>
        <v>408.9932</v>
      </c>
    </row>
    <row r="223" customFormat="false" ht="15" hidden="false" customHeight="false" outlineLevel="0" collapsed="false">
      <c r="A223" s="2" t="n">
        <v>800222</v>
      </c>
      <c r="B223" s="2" t="s">
        <v>302</v>
      </c>
      <c r="C223" s="2" t="s">
        <v>21</v>
      </c>
      <c r="D223" s="2" t="s">
        <v>171</v>
      </c>
      <c r="E223" s="2" t="s">
        <v>172</v>
      </c>
      <c r="F223" s="2" t="s">
        <v>35</v>
      </c>
      <c r="G223" s="2" t="s">
        <v>106</v>
      </c>
      <c r="H223" s="2" t="s">
        <v>26</v>
      </c>
      <c r="I223" s="2" t="s">
        <v>44</v>
      </c>
      <c r="J223" s="2" t="s">
        <v>45</v>
      </c>
      <c r="K223" s="2" t="s">
        <v>111</v>
      </c>
      <c r="L223" s="2" t="s">
        <v>99</v>
      </c>
      <c r="M223" s="2" t="n">
        <v>254</v>
      </c>
      <c r="N223" s="3" t="n">
        <v>10</v>
      </c>
      <c r="O223" s="4" t="n">
        <v>8.66</v>
      </c>
      <c r="P223" s="5" t="n">
        <v>12.5</v>
      </c>
      <c r="Q223" s="2" t="n">
        <v>3</v>
      </c>
      <c r="R223" s="4" t="n">
        <f aca="false">M223*O223</f>
        <v>2199.64</v>
      </c>
      <c r="S223" s="4" t="n">
        <f aca="false">R223*(P223/100)</f>
        <v>274.955</v>
      </c>
      <c r="T223" s="4" t="n">
        <f aca="false">R223-S223</f>
        <v>1924.685</v>
      </c>
    </row>
    <row r="224" customFormat="false" ht="15" hidden="false" customHeight="false" outlineLevel="0" collapsed="false">
      <c r="A224" s="2" t="n">
        <v>800223</v>
      </c>
      <c r="B224" s="2" t="s">
        <v>298</v>
      </c>
      <c r="C224" s="2" t="s">
        <v>84</v>
      </c>
      <c r="D224" s="2" t="s">
        <v>164</v>
      </c>
      <c r="E224" s="2" t="s">
        <v>165</v>
      </c>
      <c r="F224" s="2" t="s">
        <v>35</v>
      </c>
      <c r="G224" s="2" t="s">
        <v>52</v>
      </c>
      <c r="H224" s="2" t="s">
        <v>26</v>
      </c>
      <c r="I224" s="2" t="s">
        <v>44</v>
      </c>
      <c r="J224" s="2" t="s">
        <v>45</v>
      </c>
      <c r="K224" s="2" t="s">
        <v>111</v>
      </c>
      <c r="L224" s="2" t="s">
        <v>60</v>
      </c>
      <c r="M224" s="2" t="n">
        <v>336</v>
      </c>
      <c r="N224" s="3" t="n">
        <v>10</v>
      </c>
      <c r="O224" s="4" t="n">
        <v>8.74</v>
      </c>
      <c r="P224" s="5" t="n">
        <v>5</v>
      </c>
      <c r="Q224" s="2" t="n">
        <v>0</v>
      </c>
      <c r="R224" s="4" t="n">
        <f aca="false">M224*O224</f>
        <v>2936.64</v>
      </c>
      <c r="S224" s="4" t="n">
        <f aca="false">R224*(P224/100)</f>
        <v>146.832</v>
      </c>
      <c r="T224" s="4" t="n">
        <f aca="false">R224-S224</f>
        <v>2789.808</v>
      </c>
    </row>
    <row r="225" customFormat="false" ht="15" hidden="false" customHeight="false" outlineLevel="0" collapsed="false">
      <c r="A225" s="2" t="n">
        <v>800224</v>
      </c>
      <c r="B225" s="2" t="s">
        <v>304</v>
      </c>
      <c r="C225" s="2" t="s">
        <v>32</v>
      </c>
      <c r="D225" s="2" t="s">
        <v>55</v>
      </c>
      <c r="E225" s="2" t="s">
        <v>56</v>
      </c>
      <c r="F225" s="2" t="s">
        <v>24</v>
      </c>
      <c r="G225" s="2" t="s">
        <v>68</v>
      </c>
      <c r="H225" s="2" t="s">
        <v>26</v>
      </c>
      <c r="I225" s="2" t="s">
        <v>69</v>
      </c>
      <c r="J225" s="2" t="s">
        <v>70</v>
      </c>
      <c r="K225" s="2" t="s">
        <v>39</v>
      </c>
      <c r="L225" s="2" t="s">
        <v>82</v>
      </c>
      <c r="M225" s="2" t="n">
        <v>375</v>
      </c>
      <c r="N225" s="3" t="n">
        <v>20</v>
      </c>
      <c r="O225" s="4" t="n">
        <v>17.4</v>
      </c>
      <c r="P225" s="5" t="n">
        <v>10</v>
      </c>
      <c r="Q225" s="2" t="n">
        <v>1</v>
      </c>
      <c r="R225" s="4" t="n">
        <f aca="false">M225*O225</f>
        <v>6525</v>
      </c>
      <c r="S225" s="4" t="n">
        <f aca="false">R225*(P225/100)</f>
        <v>652.5</v>
      </c>
      <c r="T225" s="4" t="n">
        <f aca="false">R225-S225</f>
        <v>5872.5</v>
      </c>
    </row>
    <row r="226" customFormat="false" ht="15" hidden="false" customHeight="false" outlineLevel="0" collapsed="false">
      <c r="A226" s="2" t="n">
        <v>800225</v>
      </c>
      <c r="B226" s="2" t="s">
        <v>305</v>
      </c>
      <c r="C226" s="2" t="s">
        <v>32</v>
      </c>
      <c r="D226" s="2" t="s">
        <v>76</v>
      </c>
      <c r="E226" s="2" t="s">
        <v>77</v>
      </c>
      <c r="F226" s="2" t="s">
        <v>51</v>
      </c>
      <c r="G226" s="2" t="s">
        <v>106</v>
      </c>
      <c r="H226" s="2" t="s">
        <v>26</v>
      </c>
      <c r="I226" s="2" t="s">
        <v>57</v>
      </c>
      <c r="J226" s="2" t="s">
        <v>104</v>
      </c>
      <c r="K226" s="2" t="s">
        <v>59</v>
      </c>
      <c r="L226" s="2" t="s">
        <v>30</v>
      </c>
      <c r="M226" s="2" t="n">
        <v>105</v>
      </c>
      <c r="N226" s="3" t="n">
        <v>25</v>
      </c>
      <c r="O226" s="4" t="n">
        <v>22.96</v>
      </c>
      <c r="P226" s="5" t="n">
        <v>0</v>
      </c>
      <c r="Q226" s="2" t="n">
        <v>0</v>
      </c>
      <c r="R226" s="4" t="n">
        <f aca="false">M226*O226</f>
        <v>2410.8</v>
      </c>
      <c r="S226" s="4" t="n">
        <f aca="false">R226*(P226/100)</f>
        <v>0</v>
      </c>
      <c r="T226" s="4" t="n">
        <f aca="false">R226-S226</f>
        <v>2410.8</v>
      </c>
    </row>
    <row r="227" customFormat="false" ht="15" hidden="false" customHeight="false" outlineLevel="0" collapsed="false">
      <c r="A227" s="2" t="n">
        <v>800226</v>
      </c>
      <c r="B227" s="2" t="s">
        <v>306</v>
      </c>
      <c r="C227" s="2" t="s">
        <v>41</v>
      </c>
      <c r="D227" s="2" t="s">
        <v>49</v>
      </c>
      <c r="E227" s="2" t="s">
        <v>50</v>
      </c>
      <c r="F227" s="2" t="s">
        <v>87</v>
      </c>
      <c r="G227" s="2" t="s">
        <v>36</v>
      </c>
      <c r="H227" s="2" t="s">
        <v>26</v>
      </c>
      <c r="I227" s="2" t="s">
        <v>57</v>
      </c>
      <c r="J227" s="2" t="s">
        <v>104</v>
      </c>
      <c r="K227" s="2" t="s">
        <v>59</v>
      </c>
      <c r="L227" s="2" t="s">
        <v>99</v>
      </c>
      <c r="M227" s="2" t="n">
        <v>437</v>
      </c>
      <c r="N227" s="3" t="n">
        <v>25</v>
      </c>
      <c r="O227" s="4" t="n">
        <v>22.59</v>
      </c>
      <c r="P227" s="5" t="n">
        <v>12.5</v>
      </c>
      <c r="Q227" s="2" t="n">
        <v>1</v>
      </c>
      <c r="R227" s="4" t="n">
        <f aca="false">M227*O227</f>
        <v>9871.83</v>
      </c>
      <c r="S227" s="4" t="n">
        <f aca="false">R227*(P227/100)</f>
        <v>1233.97875</v>
      </c>
      <c r="T227" s="4" t="n">
        <f aca="false">R227-S227</f>
        <v>8637.85125</v>
      </c>
    </row>
    <row r="228" customFormat="false" ht="15" hidden="false" customHeight="false" outlineLevel="0" collapsed="false">
      <c r="A228" s="2" t="n">
        <v>800227</v>
      </c>
      <c r="B228" s="2" t="s">
        <v>184</v>
      </c>
      <c r="C228" s="2" t="s">
        <v>41</v>
      </c>
      <c r="D228" s="2" t="s">
        <v>42</v>
      </c>
      <c r="E228" s="2" t="s">
        <v>179</v>
      </c>
      <c r="F228" s="2" t="s">
        <v>51</v>
      </c>
      <c r="G228" s="2" t="s">
        <v>94</v>
      </c>
      <c r="H228" s="2" t="s">
        <v>26</v>
      </c>
      <c r="I228" s="2" t="s">
        <v>27</v>
      </c>
      <c r="J228" s="2" t="s">
        <v>28</v>
      </c>
      <c r="K228" s="2" t="s">
        <v>29</v>
      </c>
      <c r="L228" s="2" t="s">
        <v>53</v>
      </c>
      <c r="M228" s="2" t="n">
        <v>35</v>
      </c>
      <c r="N228" s="3" t="n">
        <v>30</v>
      </c>
      <c r="O228" s="4" t="n">
        <v>28.84</v>
      </c>
      <c r="P228" s="5" t="n">
        <v>2</v>
      </c>
      <c r="Q228" s="2" t="n">
        <v>0</v>
      </c>
      <c r="R228" s="4" t="n">
        <f aca="false">M228*O228</f>
        <v>1009.4</v>
      </c>
      <c r="S228" s="4" t="n">
        <f aca="false">R228*(P228/100)</f>
        <v>20.188</v>
      </c>
      <c r="T228" s="4" t="n">
        <f aca="false">R228-S228</f>
        <v>989.212</v>
      </c>
    </row>
    <row r="229" customFormat="false" ht="15" hidden="false" customHeight="false" outlineLevel="0" collapsed="false">
      <c r="A229" s="2" t="n">
        <v>800228</v>
      </c>
      <c r="B229" s="2" t="s">
        <v>239</v>
      </c>
      <c r="C229" s="2" t="s">
        <v>84</v>
      </c>
      <c r="D229" s="2" t="s">
        <v>85</v>
      </c>
      <c r="E229" s="2" t="s">
        <v>124</v>
      </c>
      <c r="F229" s="2" t="s">
        <v>24</v>
      </c>
      <c r="G229" s="2" t="s">
        <v>94</v>
      </c>
      <c r="H229" s="2" t="s">
        <v>26</v>
      </c>
      <c r="I229" s="2" t="s">
        <v>37</v>
      </c>
      <c r="J229" s="2" t="s">
        <v>38</v>
      </c>
      <c r="K229" s="2" t="s">
        <v>39</v>
      </c>
      <c r="L229" s="2" t="s">
        <v>30</v>
      </c>
      <c r="M229" s="2" t="n">
        <v>281</v>
      </c>
      <c r="N229" s="3" t="n">
        <v>30</v>
      </c>
      <c r="O229" s="4" t="n">
        <v>25.98</v>
      </c>
      <c r="P229" s="5" t="n">
        <v>0</v>
      </c>
      <c r="Q229" s="2" t="n">
        <v>0</v>
      </c>
      <c r="R229" s="4" t="n">
        <f aca="false">M229*O229</f>
        <v>7300.38</v>
      </c>
      <c r="S229" s="4" t="n">
        <f aca="false">R229*(P229/100)</f>
        <v>0</v>
      </c>
      <c r="T229" s="4" t="n">
        <f aca="false">R229-S229</f>
        <v>7300.38</v>
      </c>
    </row>
    <row r="230" customFormat="false" ht="15" hidden="false" customHeight="false" outlineLevel="0" collapsed="false">
      <c r="A230" s="2" t="n">
        <v>800229</v>
      </c>
      <c r="B230" s="2" t="s">
        <v>307</v>
      </c>
      <c r="C230" s="2" t="s">
        <v>84</v>
      </c>
      <c r="D230" s="2" t="s">
        <v>128</v>
      </c>
      <c r="E230" s="2" t="s">
        <v>199</v>
      </c>
      <c r="F230" s="2" t="s">
        <v>35</v>
      </c>
      <c r="G230" s="2" t="s">
        <v>25</v>
      </c>
      <c r="H230" s="2" t="s">
        <v>26</v>
      </c>
      <c r="I230" s="2" t="s">
        <v>57</v>
      </c>
      <c r="J230" s="2" t="s">
        <v>104</v>
      </c>
      <c r="K230" s="2" t="s">
        <v>59</v>
      </c>
      <c r="L230" s="2" t="s">
        <v>99</v>
      </c>
      <c r="M230" s="2" t="n">
        <v>172</v>
      </c>
      <c r="N230" s="3" t="n">
        <v>25</v>
      </c>
      <c r="O230" s="4" t="n">
        <v>24.31</v>
      </c>
      <c r="P230" s="5" t="n">
        <v>0</v>
      </c>
      <c r="Q230" s="2" t="n">
        <v>2</v>
      </c>
      <c r="R230" s="4" t="n">
        <f aca="false">M230*O230</f>
        <v>4181.32</v>
      </c>
      <c r="S230" s="4" t="n">
        <f aca="false">R230*(P230/100)</f>
        <v>0</v>
      </c>
      <c r="T230" s="4" t="n">
        <f aca="false">R230-S230</f>
        <v>4181.32</v>
      </c>
    </row>
    <row r="231" customFormat="false" ht="15" hidden="false" customHeight="false" outlineLevel="0" collapsed="false">
      <c r="A231" s="2" t="n">
        <v>800230</v>
      </c>
      <c r="B231" s="2" t="s">
        <v>308</v>
      </c>
      <c r="C231" s="2" t="s">
        <v>84</v>
      </c>
      <c r="D231" s="2" t="s">
        <v>128</v>
      </c>
      <c r="E231" s="2" t="s">
        <v>199</v>
      </c>
      <c r="F231" s="2" t="s">
        <v>78</v>
      </c>
      <c r="G231" s="2" t="s">
        <v>25</v>
      </c>
      <c r="H231" s="2" t="s">
        <v>26</v>
      </c>
      <c r="I231" s="2" t="s">
        <v>27</v>
      </c>
      <c r="J231" s="2" t="s">
        <v>91</v>
      </c>
      <c r="K231" s="2" t="s">
        <v>29</v>
      </c>
      <c r="L231" s="2" t="s">
        <v>53</v>
      </c>
      <c r="M231" s="2" t="n">
        <v>343</v>
      </c>
      <c r="N231" s="3" t="n">
        <v>35</v>
      </c>
      <c r="O231" s="4" t="n">
        <v>31.85</v>
      </c>
      <c r="P231" s="5" t="n">
        <v>0</v>
      </c>
      <c r="Q231" s="2" t="n">
        <v>0</v>
      </c>
      <c r="R231" s="4" t="n">
        <f aca="false">M231*O231</f>
        <v>10924.55</v>
      </c>
      <c r="S231" s="4" t="n">
        <f aca="false">R231*(P231/100)</f>
        <v>0</v>
      </c>
      <c r="T231" s="4" t="n">
        <f aca="false">R231-S231</f>
        <v>10924.55</v>
      </c>
    </row>
    <row r="232" customFormat="false" ht="15" hidden="false" customHeight="false" outlineLevel="0" collapsed="false">
      <c r="A232" s="2" t="n">
        <v>800231</v>
      </c>
      <c r="B232" s="2" t="s">
        <v>227</v>
      </c>
      <c r="C232" s="2" t="s">
        <v>21</v>
      </c>
      <c r="D232" s="2" t="s">
        <v>171</v>
      </c>
      <c r="E232" s="2" t="s">
        <v>192</v>
      </c>
      <c r="F232" s="2" t="s">
        <v>35</v>
      </c>
      <c r="G232" s="2" t="s">
        <v>68</v>
      </c>
      <c r="H232" s="2" t="s">
        <v>26</v>
      </c>
      <c r="I232" s="2" t="s">
        <v>37</v>
      </c>
      <c r="J232" s="2" t="s">
        <v>38</v>
      </c>
      <c r="K232" s="2" t="s">
        <v>39</v>
      </c>
      <c r="L232" s="2" t="s">
        <v>82</v>
      </c>
      <c r="M232" s="2" t="n">
        <v>380</v>
      </c>
      <c r="N232" s="3" t="n">
        <v>30</v>
      </c>
      <c r="O232" s="4" t="n">
        <v>26.73</v>
      </c>
      <c r="P232" s="5" t="n">
        <v>5</v>
      </c>
      <c r="Q232" s="2" t="n">
        <v>3</v>
      </c>
      <c r="R232" s="4" t="n">
        <f aca="false">M232*O232</f>
        <v>10157.4</v>
      </c>
      <c r="S232" s="4" t="n">
        <f aca="false">R232*(P232/100)</f>
        <v>507.87</v>
      </c>
      <c r="T232" s="4" t="n">
        <f aca="false">R232-S232</f>
        <v>9649.53</v>
      </c>
    </row>
    <row r="233" customFormat="false" ht="15" hidden="false" customHeight="false" outlineLevel="0" collapsed="false">
      <c r="A233" s="2" t="n">
        <v>800232</v>
      </c>
      <c r="B233" s="2" t="s">
        <v>83</v>
      </c>
      <c r="C233" s="2" t="s">
        <v>21</v>
      </c>
      <c r="D233" s="2" t="s">
        <v>116</v>
      </c>
      <c r="E233" s="2" t="s">
        <v>309</v>
      </c>
      <c r="F233" s="2" t="s">
        <v>78</v>
      </c>
      <c r="G233" s="2" t="s">
        <v>68</v>
      </c>
      <c r="H233" s="2" t="s">
        <v>26</v>
      </c>
      <c r="I233" s="2" t="s">
        <v>27</v>
      </c>
      <c r="J233" s="2" t="s">
        <v>28</v>
      </c>
      <c r="K233" s="2" t="s">
        <v>63</v>
      </c>
      <c r="L233" s="2" t="s">
        <v>99</v>
      </c>
      <c r="M233" s="2" t="n">
        <v>94</v>
      </c>
      <c r="N233" s="3" t="n">
        <v>50</v>
      </c>
      <c r="O233" s="4" t="n">
        <v>47.48</v>
      </c>
      <c r="P233" s="5" t="n">
        <v>2</v>
      </c>
      <c r="Q233" s="2" t="n">
        <v>1</v>
      </c>
      <c r="R233" s="4" t="n">
        <f aca="false">M233*O233</f>
        <v>4463.12</v>
      </c>
      <c r="S233" s="4" t="n">
        <f aca="false">R233*(P233/100)</f>
        <v>89.2624</v>
      </c>
      <c r="T233" s="4" t="n">
        <f aca="false">R233-S233</f>
        <v>4373.8576</v>
      </c>
    </row>
    <row r="234" customFormat="false" ht="15" hidden="false" customHeight="false" outlineLevel="0" collapsed="false">
      <c r="A234" s="2" t="n">
        <v>800233</v>
      </c>
      <c r="B234" s="2" t="s">
        <v>210</v>
      </c>
      <c r="C234" s="2" t="s">
        <v>32</v>
      </c>
      <c r="D234" s="2" t="s">
        <v>76</v>
      </c>
      <c r="E234" s="2" t="s">
        <v>77</v>
      </c>
      <c r="F234" s="2" t="s">
        <v>51</v>
      </c>
      <c r="G234" s="2" t="s">
        <v>103</v>
      </c>
      <c r="H234" s="2" t="s">
        <v>26</v>
      </c>
      <c r="I234" s="2" t="s">
        <v>57</v>
      </c>
      <c r="J234" s="2" t="s">
        <v>104</v>
      </c>
      <c r="K234" s="2" t="s">
        <v>59</v>
      </c>
      <c r="L234" s="2" t="s">
        <v>47</v>
      </c>
      <c r="M234" s="2" t="n">
        <v>226</v>
      </c>
      <c r="N234" s="3" t="n">
        <v>25</v>
      </c>
      <c r="O234" s="4" t="n">
        <v>23.05</v>
      </c>
      <c r="P234" s="5" t="n">
        <v>5</v>
      </c>
      <c r="Q234" s="2" t="n">
        <v>1</v>
      </c>
      <c r="R234" s="4" t="n">
        <f aca="false">M234*O234</f>
        <v>5209.3</v>
      </c>
      <c r="S234" s="4" t="n">
        <f aca="false">R234*(P234/100)</f>
        <v>260.465</v>
      </c>
      <c r="T234" s="4" t="n">
        <f aca="false">R234-S234</f>
        <v>4948.835</v>
      </c>
    </row>
    <row r="235" customFormat="false" ht="15" hidden="false" customHeight="false" outlineLevel="0" collapsed="false">
      <c r="A235" s="2" t="n">
        <v>800234</v>
      </c>
      <c r="B235" s="2" t="s">
        <v>238</v>
      </c>
      <c r="C235" s="2" t="s">
        <v>41</v>
      </c>
      <c r="D235" s="2" t="s">
        <v>42</v>
      </c>
      <c r="E235" s="2" t="s">
        <v>179</v>
      </c>
      <c r="F235" s="2" t="s">
        <v>78</v>
      </c>
      <c r="G235" s="2" t="s">
        <v>125</v>
      </c>
      <c r="H235" s="2" t="s">
        <v>26</v>
      </c>
      <c r="I235" s="2" t="s">
        <v>69</v>
      </c>
      <c r="J235" s="2" t="s">
        <v>114</v>
      </c>
      <c r="K235" s="2" t="s">
        <v>29</v>
      </c>
      <c r="L235" s="2" t="s">
        <v>82</v>
      </c>
      <c r="M235" s="2" t="n">
        <v>455</v>
      </c>
      <c r="N235" s="3" t="n">
        <v>20</v>
      </c>
      <c r="O235" s="4" t="n">
        <v>17.18</v>
      </c>
      <c r="P235" s="5" t="n">
        <v>10</v>
      </c>
      <c r="Q235" s="2" t="n">
        <v>0</v>
      </c>
      <c r="R235" s="4" t="n">
        <f aca="false">M235*O235</f>
        <v>7816.9</v>
      </c>
      <c r="S235" s="4" t="n">
        <f aca="false">R235*(P235/100)</f>
        <v>781.69</v>
      </c>
      <c r="T235" s="4" t="n">
        <f aca="false">R235-S235</f>
        <v>7035.21</v>
      </c>
    </row>
    <row r="236" customFormat="false" ht="15" hidden="false" customHeight="false" outlineLevel="0" collapsed="false">
      <c r="A236" s="2" t="n">
        <v>800235</v>
      </c>
      <c r="B236" s="2" t="s">
        <v>310</v>
      </c>
      <c r="C236" s="2" t="s">
        <v>32</v>
      </c>
      <c r="D236" s="2" t="s">
        <v>151</v>
      </c>
      <c r="E236" s="2" t="s">
        <v>152</v>
      </c>
      <c r="F236" s="2" t="s">
        <v>87</v>
      </c>
      <c r="G236" s="2" t="s">
        <v>68</v>
      </c>
      <c r="H236" s="2" t="s">
        <v>26</v>
      </c>
      <c r="I236" s="2" t="s">
        <v>44</v>
      </c>
      <c r="J236" s="2" t="s">
        <v>126</v>
      </c>
      <c r="K236" s="2" t="s">
        <v>71</v>
      </c>
      <c r="L236" s="2" t="s">
        <v>53</v>
      </c>
      <c r="M236" s="2" t="n">
        <v>86</v>
      </c>
      <c r="N236" s="3" t="n">
        <v>20</v>
      </c>
      <c r="O236" s="4" t="n">
        <v>18.59</v>
      </c>
      <c r="P236" s="5" t="n">
        <v>12.5</v>
      </c>
      <c r="Q236" s="2" t="n">
        <v>1</v>
      </c>
      <c r="R236" s="4" t="n">
        <f aca="false">M236*O236</f>
        <v>1598.74</v>
      </c>
      <c r="S236" s="4" t="n">
        <f aca="false">R236*(P236/100)</f>
        <v>199.8425</v>
      </c>
      <c r="T236" s="4" t="n">
        <f aca="false">R236-S236</f>
        <v>1398.8975</v>
      </c>
    </row>
    <row r="237" customFormat="false" ht="15" hidden="false" customHeight="false" outlineLevel="0" collapsed="false">
      <c r="A237" s="2" t="n">
        <v>800236</v>
      </c>
      <c r="B237" s="2" t="s">
        <v>311</v>
      </c>
      <c r="C237" s="2" t="s">
        <v>21</v>
      </c>
      <c r="D237" s="2" t="s">
        <v>22</v>
      </c>
      <c r="E237" s="2" t="s">
        <v>109</v>
      </c>
      <c r="F237" s="2" t="s">
        <v>51</v>
      </c>
      <c r="G237" s="2" t="s">
        <v>36</v>
      </c>
      <c r="H237" s="2" t="s">
        <v>26</v>
      </c>
      <c r="I237" s="2" t="s">
        <v>69</v>
      </c>
      <c r="J237" s="2" t="s">
        <v>70</v>
      </c>
      <c r="K237" s="2" t="s">
        <v>39</v>
      </c>
      <c r="L237" s="2" t="s">
        <v>60</v>
      </c>
      <c r="M237" s="2" t="n">
        <v>253</v>
      </c>
      <c r="N237" s="3" t="n">
        <v>20</v>
      </c>
      <c r="O237" s="4" t="n">
        <v>17</v>
      </c>
      <c r="P237" s="5" t="n">
        <v>10</v>
      </c>
      <c r="Q237" s="2" t="n">
        <v>0</v>
      </c>
      <c r="R237" s="4" t="n">
        <f aca="false">M237*O237</f>
        <v>4301</v>
      </c>
      <c r="S237" s="4" t="n">
        <f aca="false">R237*(P237/100)</f>
        <v>430.1</v>
      </c>
      <c r="T237" s="4" t="n">
        <f aca="false">R237-S237</f>
        <v>3870.9</v>
      </c>
    </row>
    <row r="238" customFormat="false" ht="15" hidden="false" customHeight="false" outlineLevel="0" collapsed="false">
      <c r="A238" s="2" t="n">
        <v>800237</v>
      </c>
      <c r="B238" s="2" t="s">
        <v>65</v>
      </c>
      <c r="C238" s="2" t="s">
        <v>32</v>
      </c>
      <c r="D238" s="2" t="s">
        <v>55</v>
      </c>
      <c r="E238" s="2" t="s">
        <v>56</v>
      </c>
      <c r="F238" s="2" t="s">
        <v>87</v>
      </c>
      <c r="G238" s="2" t="s">
        <v>52</v>
      </c>
      <c r="H238" s="2" t="s">
        <v>26</v>
      </c>
      <c r="I238" s="2" t="s">
        <v>44</v>
      </c>
      <c r="J238" s="2" t="s">
        <v>45</v>
      </c>
      <c r="K238" s="2" t="s">
        <v>111</v>
      </c>
      <c r="L238" s="2" t="s">
        <v>47</v>
      </c>
      <c r="M238" s="2" t="n">
        <v>210</v>
      </c>
      <c r="N238" s="3" t="n">
        <v>10</v>
      </c>
      <c r="O238" s="4" t="n">
        <v>9.43</v>
      </c>
      <c r="P238" s="5" t="n">
        <v>0</v>
      </c>
      <c r="Q238" s="2" t="n">
        <v>0</v>
      </c>
      <c r="R238" s="4" t="n">
        <f aca="false">M238*O238</f>
        <v>1980.3</v>
      </c>
      <c r="S238" s="4" t="n">
        <f aca="false">R238*(P238/100)</f>
        <v>0</v>
      </c>
      <c r="T238" s="4" t="n">
        <f aca="false">R238-S238</f>
        <v>1980.3</v>
      </c>
    </row>
    <row r="239" customFormat="false" ht="15" hidden="false" customHeight="false" outlineLevel="0" collapsed="false">
      <c r="A239" s="2" t="n">
        <v>800238</v>
      </c>
      <c r="B239" s="2" t="s">
        <v>312</v>
      </c>
      <c r="C239" s="2" t="s">
        <v>84</v>
      </c>
      <c r="D239" s="2" t="s">
        <v>85</v>
      </c>
      <c r="E239" s="2" t="s">
        <v>124</v>
      </c>
      <c r="F239" s="2" t="s">
        <v>78</v>
      </c>
      <c r="G239" s="2" t="s">
        <v>125</v>
      </c>
      <c r="H239" s="2" t="s">
        <v>26</v>
      </c>
      <c r="I239" s="2" t="s">
        <v>69</v>
      </c>
      <c r="J239" s="2" t="s">
        <v>134</v>
      </c>
      <c r="K239" s="2" t="s">
        <v>39</v>
      </c>
      <c r="L239" s="2" t="s">
        <v>99</v>
      </c>
      <c r="M239" s="2" t="n">
        <v>264</v>
      </c>
      <c r="N239" s="3" t="n">
        <v>20</v>
      </c>
      <c r="O239" s="4" t="n">
        <v>17.22</v>
      </c>
      <c r="P239" s="5" t="n">
        <v>2</v>
      </c>
      <c r="Q239" s="2" t="n">
        <v>3</v>
      </c>
      <c r="R239" s="4" t="n">
        <f aca="false">M239*O239</f>
        <v>4546.08</v>
      </c>
      <c r="S239" s="4" t="n">
        <f aca="false">R239*(P239/100)</f>
        <v>90.9216</v>
      </c>
      <c r="T239" s="4" t="n">
        <f aca="false">R239-S239</f>
        <v>4455.1584</v>
      </c>
    </row>
    <row r="240" customFormat="false" ht="15" hidden="false" customHeight="false" outlineLevel="0" collapsed="false">
      <c r="A240" s="2" t="n">
        <v>800239</v>
      </c>
      <c r="B240" s="2" t="s">
        <v>234</v>
      </c>
      <c r="C240" s="2" t="s">
        <v>41</v>
      </c>
      <c r="D240" s="2" t="s">
        <v>73</v>
      </c>
      <c r="E240" s="2" t="s">
        <v>136</v>
      </c>
      <c r="F240" s="2" t="s">
        <v>87</v>
      </c>
      <c r="G240" s="2" t="s">
        <v>52</v>
      </c>
      <c r="H240" s="2" t="s">
        <v>26</v>
      </c>
      <c r="I240" s="2" t="s">
        <v>57</v>
      </c>
      <c r="J240" s="2" t="s">
        <v>104</v>
      </c>
      <c r="K240" s="2" t="s">
        <v>59</v>
      </c>
      <c r="L240" s="2" t="s">
        <v>60</v>
      </c>
      <c r="M240" s="2" t="n">
        <v>56</v>
      </c>
      <c r="N240" s="3" t="n">
        <v>25</v>
      </c>
      <c r="O240" s="4" t="n">
        <v>22.05</v>
      </c>
      <c r="P240" s="5" t="n">
        <v>0</v>
      </c>
      <c r="Q240" s="2" t="n">
        <v>0</v>
      </c>
      <c r="R240" s="4" t="n">
        <f aca="false">M240*O240</f>
        <v>1234.8</v>
      </c>
      <c r="S240" s="4" t="n">
        <f aca="false">R240*(P240/100)</f>
        <v>0</v>
      </c>
      <c r="T240" s="4" t="n">
        <f aca="false">R240-S240</f>
        <v>1234.8</v>
      </c>
    </row>
    <row r="241" customFormat="false" ht="15" hidden="false" customHeight="false" outlineLevel="0" collapsed="false">
      <c r="A241" s="2" t="n">
        <v>800240</v>
      </c>
      <c r="B241" s="2" t="s">
        <v>313</v>
      </c>
      <c r="C241" s="2" t="s">
        <v>84</v>
      </c>
      <c r="D241" s="2" t="s">
        <v>119</v>
      </c>
      <c r="E241" s="2" t="s">
        <v>201</v>
      </c>
      <c r="F241" s="2" t="s">
        <v>24</v>
      </c>
      <c r="G241" s="2" t="s">
        <v>103</v>
      </c>
      <c r="H241" s="2" t="s">
        <v>26</v>
      </c>
      <c r="I241" s="2" t="s">
        <v>27</v>
      </c>
      <c r="J241" s="2" t="s">
        <v>28</v>
      </c>
      <c r="K241" s="2" t="s">
        <v>63</v>
      </c>
      <c r="L241" s="2" t="s">
        <v>47</v>
      </c>
      <c r="M241" s="2" t="n">
        <v>291</v>
      </c>
      <c r="N241" s="3" t="n">
        <v>50</v>
      </c>
      <c r="O241" s="4" t="n">
        <v>46.44</v>
      </c>
      <c r="P241" s="5" t="n">
        <v>0</v>
      </c>
      <c r="Q241" s="2" t="n">
        <v>2</v>
      </c>
      <c r="R241" s="4" t="n">
        <f aca="false">M241*O241</f>
        <v>13514.04</v>
      </c>
      <c r="S241" s="4" t="n">
        <f aca="false">R241*(P241/100)</f>
        <v>0</v>
      </c>
      <c r="T241" s="4" t="n">
        <f aca="false">R241-S241</f>
        <v>13514.04</v>
      </c>
    </row>
    <row r="242" customFormat="false" ht="15" hidden="false" customHeight="false" outlineLevel="0" collapsed="false">
      <c r="A242" s="2" t="n">
        <v>800241</v>
      </c>
      <c r="B242" s="2" t="s">
        <v>313</v>
      </c>
      <c r="C242" s="2" t="s">
        <v>32</v>
      </c>
      <c r="D242" s="2" t="s">
        <v>33</v>
      </c>
      <c r="E242" s="2" t="s">
        <v>187</v>
      </c>
      <c r="F242" s="2" t="s">
        <v>35</v>
      </c>
      <c r="G242" s="2" t="s">
        <v>62</v>
      </c>
      <c r="H242" s="2" t="s">
        <v>26</v>
      </c>
      <c r="I242" s="2" t="s">
        <v>57</v>
      </c>
      <c r="J242" s="2" t="s">
        <v>104</v>
      </c>
      <c r="K242" s="2" t="s">
        <v>59</v>
      </c>
      <c r="L242" s="2" t="s">
        <v>47</v>
      </c>
      <c r="M242" s="2" t="n">
        <v>479</v>
      </c>
      <c r="N242" s="3" t="n">
        <v>25</v>
      </c>
      <c r="O242" s="4" t="n">
        <v>21.6</v>
      </c>
      <c r="P242" s="5" t="n">
        <v>0</v>
      </c>
      <c r="Q242" s="2" t="n">
        <v>1</v>
      </c>
      <c r="R242" s="4" t="n">
        <f aca="false">M242*O242</f>
        <v>10346.4</v>
      </c>
      <c r="S242" s="4" t="n">
        <f aca="false">R242*(P242/100)</f>
        <v>0</v>
      </c>
      <c r="T242" s="4" t="n">
        <f aca="false">R242-S242</f>
        <v>10346.4</v>
      </c>
    </row>
    <row r="243" customFormat="false" ht="15" hidden="false" customHeight="false" outlineLevel="0" collapsed="false">
      <c r="A243" s="2" t="n">
        <v>800242</v>
      </c>
      <c r="B243" s="2" t="s">
        <v>205</v>
      </c>
      <c r="C243" s="2" t="s">
        <v>41</v>
      </c>
      <c r="D243" s="2" t="s">
        <v>42</v>
      </c>
      <c r="E243" s="2" t="s">
        <v>131</v>
      </c>
      <c r="F243" s="2" t="s">
        <v>24</v>
      </c>
      <c r="G243" s="2" t="s">
        <v>68</v>
      </c>
      <c r="H243" s="2" t="s">
        <v>26</v>
      </c>
      <c r="I243" s="2" t="s">
        <v>69</v>
      </c>
      <c r="J243" s="2" t="s">
        <v>70</v>
      </c>
      <c r="K243" s="2" t="s">
        <v>71</v>
      </c>
      <c r="L243" s="2" t="s">
        <v>30</v>
      </c>
      <c r="M243" s="2" t="n">
        <v>327</v>
      </c>
      <c r="N243" s="3" t="n">
        <v>40</v>
      </c>
      <c r="O243" s="4" t="n">
        <v>37.36</v>
      </c>
      <c r="P243" s="5" t="n">
        <v>5</v>
      </c>
      <c r="Q243" s="2" t="n">
        <v>0</v>
      </c>
      <c r="R243" s="4" t="n">
        <f aca="false">M243*O243</f>
        <v>12216.72</v>
      </c>
      <c r="S243" s="4" t="n">
        <f aca="false">R243*(P243/100)</f>
        <v>610.836</v>
      </c>
      <c r="T243" s="4" t="n">
        <f aca="false">R243-S243</f>
        <v>11605.884</v>
      </c>
    </row>
    <row r="244" customFormat="false" ht="15" hidden="false" customHeight="false" outlineLevel="0" collapsed="false">
      <c r="A244" s="2" t="n">
        <v>800243</v>
      </c>
      <c r="B244" s="2" t="s">
        <v>314</v>
      </c>
      <c r="C244" s="2" t="s">
        <v>84</v>
      </c>
      <c r="D244" s="2" t="s">
        <v>85</v>
      </c>
      <c r="E244" s="2" t="s">
        <v>86</v>
      </c>
      <c r="F244" s="2" t="s">
        <v>51</v>
      </c>
      <c r="G244" s="2" t="s">
        <v>68</v>
      </c>
      <c r="H244" s="2" t="s">
        <v>26</v>
      </c>
      <c r="I244" s="2" t="s">
        <v>69</v>
      </c>
      <c r="J244" s="2" t="s">
        <v>70</v>
      </c>
      <c r="K244" s="2" t="s">
        <v>71</v>
      </c>
      <c r="L244" s="2" t="s">
        <v>60</v>
      </c>
      <c r="M244" s="2" t="n">
        <v>217</v>
      </c>
      <c r="N244" s="3" t="n">
        <v>40</v>
      </c>
      <c r="O244" s="4" t="n">
        <v>34.63</v>
      </c>
      <c r="P244" s="5" t="n">
        <v>12.5</v>
      </c>
      <c r="Q244" s="2" t="n">
        <v>0</v>
      </c>
      <c r="R244" s="4" t="n">
        <f aca="false">M244*O244</f>
        <v>7514.71</v>
      </c>
      <c r="S244" s="4" t="n">
        <f aca="false">R244*(P244/100)</f>
        <v>939.33875</v>
      </c>
      <c r="T244" s="4" t="n">
        <f aca="false">R244-S244</f>
        <v>6575.37125</v>
      </c>
    </row>
    <row r="245" customFormat="false" ht="15" hidden="false" customHeight="false" outlineLevel="0" collapsed="false">
      <c r="A245" s="2" t="n">
        <v>800244</v>
      </c>
      <c r="B245" s="2" t="s">
        <v>315</v>
      </c>
      <c r="C245" s="2" t="s">
        <v>21</v>
      </c>
      <c r="D245" s="2" t="s">
        <v>147</v>
      </c>
      <c r="E245" s="2" t="s">
        <v>276</v>
      </c>
      <c r="F245" s="2" t="s">
        <v>24</v>
      </c>
      <c r="G245" s="2" t="s">
        <v>103</v>
      </c>
      <c r="H245" s="2" t="s">
        <v>26</v>
      </c>
      <c r="I245" s="2" t="s">
        <v>37</v>
      </c>
      <c r="J245" s="2" t="s">
        <v>38</v>
      </c>
      <c r="K245" s="2" t="s">
        <v>39</v>
      </c>
      <c r="L245" s="2" t="s">
        <v>82</v>
      </c>
      <c r="M245" s="2" t="n">
        <v>299</v>
      </c>
      <c r="N245" s="3" t="n">
        <v>30</v>
      </c>
      <c r="O245" s="4" t="n">
        <v>28.37</v>
      </c>
      <c r="P245" s="5" t="n">
        <v>12.5</v>
      </c>
      <c r="Q245" s="2" t="n">
        <v>0</v>
      </c>
      <c r="R245" s="4" t="n">
        <f aca="false">M245*O245</f>
        <v>8482.63</v>
      </c>
      <c r="S245" s="4" t="n">
        <f aca="false">R245*(P245/100)</f>
        <v>1060.32875</v>
      </c>
      <c r="T245" s="4" t="n">
        <f aca="false">R245-S245</f>
        <v>7422.30125</v>
      </c>
    </row>
    <row r="246" customFormat="false" ht="15" hidden="false" customHeight="false" outlineLevel="0" collapsed="false">
      <c r="A246" s="2" t="n">
        <v>800245</v>
      </c>
      <c r="B246" s="2" t="s">
        <v>316</v>
      </c>
      <c r="C246" s="2" t="s">
        <v>21</v>
      </c>
      <c r="D246" s="2" t="s">
        <v>22</v>
      </c>
      <c r="E246" s="2" t="s">
        <v>23</v>
      </c>
      <c r="F246" s="2" t="s">
        <v>24</v>
      </c>
      <c r="G246" s="2" t="s">
        <v>36</v>
      </c>
      <c r="H246" s="2" t="s">
        <v>26</v>
      </c>
      <c r="I246" s="2" t="s">
        <v>69</v>
      </c>
      <c r="J246" s="2" t="s">
        <v>202</v>
      </c>
      <c r="K246" s="2" t="s">
        <v>39</v>
      </c>
      <c r="L246" s="2" t="s">
        <v>30</v>
      </c>
      <c r="M246" s="2" t="n">
        <v>166</v>
      </c>
      <c r="N246" s="3" t="n">
        <v>20</v>
      </c>
      <c r="O246" s="4" t="n">
        <v>18.76</v>
      </c>
      <c r="P246" s="5" t="n">
        <v>10</v>
      </c>
      <c r="Q246" s="2" t="n">
        <v>1</v>
      </c>
      <c r="R246" s="4" t="n">
        <f aca="false">M246*O246</f>
        <v>3114.16</v>
      </c>
      <c r="S246" s="4" t="n">
        <f aca="false">R246*(P246/100)</f>
        <v>311.416</v>
      </c>
      <c r="T246" s="4" t="n">
        <f aca="false">R246-S246</f>
        <v>2802.744</v>
      </c>
    </row>
    <row r="247" customFormat="false" ht="15" hidden="false" customHeight="false" outlineLevel="0" collapsed="false">
      <c r="A247" s="2" t="n">
        <v>800246</v>
      </c>
      <c r="B247" s="2" t="s">
        <v>257</v>
      </c>
      <c r="C247" s="2" t="s">
        <v>41</v>
      </c>
      <c r="D247" s="2" t="s">
        <v>73</v>
      </c>
      <c r="E247" s="2" t="s">
        <v>167</v>
      </c>
      <c r="F247" s="2" t="s">
        <v>35</v>
      </c>
      <c r="G247" s="2" t="s">
        <v>90</v>
      </c>
      <c r="H247" s="2" t="s">
        <v>26</v>
      </c>
      <c r="I247" s="2" t="s">
        <v>37</v>
      </c>
      <c r="J247" s="2" t="s">
        <v>38</v>
      </c>
      <c r="K247" s="2" t="s">
        <v>39</v>
      </c>
      <c r="L247" s="2" t="s">
        <v>107</v>
      </c>
      <c r="M247" s="2" t="n">
        <v>62</v>
      </c>
      <c r="N247" s="3" t="n">
        <v>30</v>
      </c>
      <c r="O247" s="4" t="n">
        <v>26.8</v>
      </c>
      <c r="P247" s="5" t="n">
        <v>2</v>
      </c>
      <c r="Q247" s="2" t="n">
        <v>0</v>
      </c>
      <c r="R247" s="4" t="n">
        <f aca="false">M247*O247</f>
        <v>1661.6</v>
      </c>
      <c r="S247" s="4" t="n">
        <f aca="false">R247*(P247/100)</f>
        <v>33.232</v>
      </c>
      <c r="T247" s="4" t="n">
        <f aca="false">R247-S247</f>
        <v>1628.368</v>
      </c>
    </row>
    <row r="248" customFormat="false" ht="15" hidden="false" customHeight="false" outlineLevel="0" collapsed="false">
      <c r="A248" s="2" t="n">
        <v>800247</v>
      </c>
      <c r="B248" s="2" t="s">
        <v>210</v>
      </c>
      <c r="C248" s="2" t="s">
        <v>84</v>
      </c>
      <c r="D248" s="2" t="s">
        <v>164</v>
      </c>
      <c r="E248" s="2" t="s">
        <v>211</v>
      </c>
      <c r="F248" s="2" t="s">
        <v>87</v>
      </c>
      <c r="G248" s="2" t="s">
        <v>125</v>
      </c>
      <c r="H248" s="2" t="s">
        <v>26</v>
      </c>
      <c r="I248" s="2" t="s">
        <v>57</v>
      </c>
      <c r="J248" s="2" t="s">
        <v>104</v>
      </c>
      <c r="K248" s="2" t="s">
        <v>59</v>
      </c>
      <c r="L248" s="2" t="s">
        <v>132</v>
      </c>
      <c r="M248" s="2" t="n">
        <v>145</v>
      </c>
      <c r="N248" s="3" t="n">
        <v>25</v>
      </c>
      <c r="O248" s="4" t="n">
        <v>21.55</v>
      </c>
      <c r="P248" s="5" t="n">
        <v>10</v>
      </c>
      <c r="Q248" s="2" t="n">
        <v>0</v>
      </c>
      <c r="R248" s="4" t="n">
        <f aca="false">M248*O248</f>
        <v>3124.75</v>
      </c>
      <c r="S248" s="4" t="n">
        <f aca="false">R248*(P248/100)</f>
        <v>312.475</v>
      </c>
      <c r="T248" s="4" t="n">
        <f aca="false">R248-S248</f>
        <v>2812.275</v>
      </c>
    </row>
    <row r="249" customFormat="false" ht="15" hidden="false" customHeight="false" outlineLevel="0" collapsed="false">
      <c r="A249" s="2" t="n">
        <v>800248</v>
      </c>
      <c r="B249" s="2" t="s">
        <v>301</v>
      </c>
      <c r="C249" s="2" t="s">
        <v>21</v>
      </c>
      <c r="D249" s="2" t="s">
        <v>147</v>
      </c>
      <c r="E249" s="2" t="s">
        <v>148</v>
      </c>
      <c r="F249" s="2" t="s">
        <v>24</v>
      </c>
      <c r="G249" s="2" t="s">
        <v>52</v>
      </c>
      <c r="H249" s="2" t="s">
        <v>26</v>
      </c>
      <c r="I249" s="2" t="s">
        <v>69</v>
      </c>
      <c r="J249" s="2" t="s">
        <v>70</v>
      </c>
      <c r="K249" s="2" t="s">
        <v>39</v>
      </c>
      <c r="L249" s="2" t="s">
        <v>132</v>
      </c>
      <c r="M249" s="2" t="n">
        <v>103</v>
      </c>
      <c r="N249" s="3" t="n">
        <v>20</v>
      </c>
      <c r="O249" s="4" t="n">
        <v>18.39</v>
      </c>
      <c r="P249" s="5" t="n">
        <v>7.5</v>
      </c>
      <c r="Q249" s="2" t="n">
        <v>3</v>
      </c>
      <c r="R249" s="4" t="n">
        <f aca="false">M249*O249</f>
        <v>1894.17</v>
      </c>
      <c r="S249" s="4" t="n">
        <f aca="false">R249*(P249/100)</f>
        <v>142.06275</v>
      </c>
      <c r="T249" s="4" t="n">
        <f aca="false">R249-S249</f>
        <v>1752.10725</v>
      </c>
    </row>
    <row r="250" customFormat="false" ht="15" hidden="false" customHeight="false" outlineLevel="0" collapsed="false">
      <c r="A250" s="2" t="n">
        <v>800249</v>
      </c>
      <c r="B250" s="2" t="s">
        <v>220</v>
      </c>
      <c r="C250" s="2" t="s">
        <v>84</v>
      </c>
      <c r="D250" s="2" t="s">
        <v>85</v>
      </c>
      <c r="E250" s="2" t="s">
        <v>124</v>
      </c>
      <c r="F250" s="2" t="s">
        <v>24</v>
      </c>
      <c r="G250" s="2" t="s">
        <v>125</v>
      </c>
      <c r="H250" s="2" t="s">
        <v>26</v>
      </c>
      <c r="I250" s="2" t="s">
        <v>44</v>
      </c>
      <c r="J250" s="2" t="s">
        <v>126</v>
      </c>
      <c r="K250" s="2" t="s">
        <v>71</v>
      </c>
      <c r="L250" s="2" t="s">
        <v>47</v>
      </c>
      <c r="M250" s="2" t="n">
        <v>414</v>
      </c>
      <c r="N250" s="3" t="n">
        <v>20</v>
      </c>
      <c r="O250" s="4" t="n">
        <v>19.52</v>
      </c>
      <c r="P250" s="5" t="n">
        <v>7.5</v>
      </c>
      <c r="Q250" s="2" t="n">
        <v>1</v>
      </c>
      <c r="R250" s="4" t="n">
        <f aca="false">M250*O250</f>
        <v>8081.28</v>
      </c>
      <c r="S250" s="4" t="n">
        <f aca="false">R250*(P250/100)</f>
        <v>606.096</v>
      </c>
      <c r="T250" s="4" t="n">
        <f aca="false">R250-S250</f>
        <v>7475.184</v>
      </c>
    </row>
    <row r="251" customFormat="false" ht="15" hidden="false" customHeight="false" outlineLevel="0" collapsed="false">
      <c r="A251" s="2" t="n">
        <v>800250</v>
      </c>
      <c r="B251" s="2" t="s">
        <v>317</v>
      </c>
      <c r="C251" s="2" t="s">
        <v>21</v>
      </c>
      <c r="D251" s="2" t="s">
        <v>147</v>
      </c>
      <c r="E251" s="2" t="s">
        <v>148</v>
      </c>
      <c r="F251" s="2" t="s">
        <v>35</v>
      </c>
      <c r="G251" s="2" t="s">
        <v>62</v>
      </c>
      <c r="H251" s="2" t="s">
        <v>26</v>
      </c>
      <c r="I251" s="2" t="s">
        <v>69</v>
      </c>
      <c r="J251" s="2" t="s">
        <v>114</v>
      </c>
      <c r="K251" s="2" t="s">
        <v>29</v>
      </c>
      <c r="L251" s="2" t="s">
        <v>60</v>
      </c>
      <c r="M251" s="2" t="n">
        <v>281</v>
      </c>
      <c r="N251" s="3" t="n">
        <v>20</v>
      </c>
      <c r="O251" s="4" t="n">
        <v>18.01</v>
      </c>
      <c r="P251" s="5" t="n">
        <v>12.5</v>
      </c>
      <c r="Q251" s="2" t="n">
        <v>0</v>
      </c>
      <c r="R251" s="4" t="n">
        <f aca="false">M251*O251</f>
        <v>5060.81</v>
      </c>
      <c r="S251" s="4" t="n">
        <f aca="false">R251*(P251/100)</f>
        <v>632.60125</v>
      </c>
      <c r="T251" s="4" t="n">
        <f aca="false">R251-S251</f>
        <v>4428.20875</v>
      </c>
    </row>
    <row r="252" customFormat="false" ht="15" hidden="false" customHeight="false" outlineLevel="0" collapsed="false">
      <c r="A252" s="2" t="n">
        <v>800251</v>
      </c>
      <c r="B252" s="2" t="s">
        <v>48</v>
      </c>
      <c r="C252" s="2" t="s">
        <v>32</v>
      </c>
      <c r="D252" s="2" t="s">
        <v>55</v>
      </c>
      <c r="E252" s="2" t="s">
        <v>56</v>
      </c>
      <c r="F252" s="2" t="s">
        <v>35</v>
      </c>
      <c r="G252" s="2" t="s">
        <v>62</v>
      </c>
      <c r="H252" s="2" t="s">
        <v>26</v>
      </c>
      <c r="I252" s="2" t="s">
        <v>69</v>
      </c>
      <c r="J252" s="2" t="s">
        <v>70</v>
      </c>
      <c r="K252" s="2" t="s">
        <v>71</v>
      </c>
      <c r="L252" s="2" t="s">
        <v>30</v>
      </c>
      <c r="M252" s="2" t="n">
        <v>21</v>
      </c>
      <c r="N252" s="3" t="n">
        <v>40</v>
      </c>
      <c r="O252" s="4" t="n">
        <v>34.25</v>
      </c>
      <c r="P252" s="5" t="n">
        <v>0</v>
      </c>
      <c r="Q252" s="2" t="n">
        <v>0</v>
      </c>
      <c r="R252" s="4" t="n">
        <f aca="false">M252*O252</f>
        <v>719.25</v>
      </c>
      <c r="S252" s="4" t="n">
        <f aca="false">R252*(P252/100)</f>
        <v>0</v>
      </c>
      <c r="T252" s="4" t="n">
        <f aca="false">R252-S252</f>
        <v>719.25</v>
      </c>
    </row>
    <row r="253" customFormat="false" ht="15" hidden="false" customHeight="false" outlineLevel="0" collapsed="false">
      <c r="A253" s="2" t="n">
        <v>800252</v>
      </c>
      <c r="B253" s="2" t="s">
        <v>225</v>
      </c>
      <c r="C253" s="2" t="s">
        <v>41</v>
      </c>
      <c r="D253" s="2" t="s">
        <v>42</v>
      </c>
      <c r="E253" s="2" t="s">
        <v>43</v>
      </c>
      <c r="F253" s="2" t="s">
        <v>24</v>
      </c>
      <c r="G253" s="2" t="s">
        <v>106</v>
      </c>
      <c r="H253" s="2" t="s">
        <v>26</v>
      </c>
      <c r="I253" s="2" t="s">
        <v>69</v>
      </c>
      <c r="J253" s="2" t="s">
        <v>202</v>
      </c>
      <c r="K253" s="2" t="s">
        <v>39</v>
      </c>
      <c r="L253" s="2" t="s">
        <v>99</v>
      </c>
      <c r="M253" s="2" t="n">
        <v>184</v>
      </c>
      <c r="N253" s="3" t="n">
        <v>20</v>
      </c>
      <c r="O253" s="4" t="n">
        <v>17.7</v>
      </c>
      <c r="P253" s="5" t="n">
        <v>7.5</v>
      </c>
      <c r="Q253" s="2" t="n">
        <v>0</v>
      </c>
      <c r="R253" s="4" t="n">
        <f aca="false">M253*O253</f>
        <v>3256.8</v>
      </c>
      <c r="S253" s="4" t="n">
        <f aca="false">R253*(P253/100)</f>
        <v>244.26</v>
      </c>
      <c r="T253" s="4" t="n">
        <f aca="false">R253-S253</f>
        <v>3012.54</v>
      </c>
    </row>
    <row r="254" customFormat="false" ht="15" hidden="false" customHeight="false" outlineLevel="0" collapsed="false">
      <c r="A254" s="2" t="n">
        <v>800253</v>
      </c>
      <c r="B254" s="2" t="s">
        <v>255</v>
      </c>
      <c r="C254" s="2" t="s">
        <v>84</v>
      </c>
      <c r="D254" s="2" t="s">
        <v>128</v>
      </c>
      <c r="E254" s="2" t="s">
        <v>129</v>
      </c>
      <c r="F254" s="2" t="s">
        <v>24</v>
      </c>
      <c r="G254" s="2" t="s">
        <v>25</v>
      </c>
      <c r="H254" s="2" t="s">
        <v>26</v>
      </c>
      <c r="I254" s="2" t="s">
        <v>37</v>
      </c>
      <c r="J254" s="2" t="s">
        <v>38</v>
      </c>
      <c r="K254" s="2" t="s">
        <v>39</v>
      </c>
      <c r="L254" s="2" t="s">
        <v>161</v>
      </c>
      <c r="M254" s="2" t="n">
        <v>55</v>
      </c>
      <c r="N254" s="3" t="n">
        <v>30</v>
      </c>
      <c r="O254" s="4" t="n">
        <v>29.18</v>
      </c>
      <c r="P254" s="5" t="n">
        <v>5</v>
      </c>
      <c r="Q254" s="2" t="n">
        <v>0</v>
      </c>
      <c r="R254" s="4" t="n">
        <f aca="false">M254*O254</f>
        <v>1604.9</v>
      </c>
      <c r="S254" s="4" t="n">
        <f aca="false">R254*(P254/100)</f>
        <v>80.245</v>
      </c>
      <c r="T254" s="4" t="n">
        <f aca="false">R254-S254</f>
        <v>1524.655</v>
      </c>
    </row>
    <row r="255" customFormat="false" ht="15" hidden="false" customHeight="false" outlineLevel="0" collapsed="false">
      <c r="A255" s="2" t="n">
        <v>800254</v>
      </c>
      <c r="B255" s="2" t="s">
        <v>317</v>
      </c>
      <c r="C255" s="2" t="s">
        <v>21</v>
      </c>
      <c r="D255" s="2" t="s">
        <v>171</v>
      </c>
      <c r="E255" s="2" t="s">
        <v>192</v>
      </c>
      <c r="F255" s="2" t="s">
        <v>78</v>
      </c>
      <c r="G255" s="2" t="s">
        <v>137</v>
      </c>
      <c r="H255" s="2" t="s">
        <v>26</v>
      </c>
      <c r="I255" s="2" t="s">
        <v>27</v>
      </c>
      <c r="J255" s="2" t="s">
        <v>91</v>
      </c>
      <c r="K255" s="2" t="s">
        <v>29</v>
      </c>
      <c r="L255" s="2" t="s">
        <v>53</v>
      </c>
      <c r="M255" s="2" t="n">
        <v>421</v>
      </c>
      <c r="N255" s="3" t="n">
        <v>35</v>
      </c>
      <c r="O255" s="4" t="n">
        <v>31.24</v>
      </c>
      <c r="P255" s="5" t="n">
        <v>2</v>
      </c>
      <c r="Q255" s="2" t="n">
        <v>2</v>
      </c>
      <c r="R255" s="4" t="n">
        <f aca="false">M255*O255</f>
        <v>13152.04</v>
      </c>
      <c r="S255" s="4" t="n">
        <f aca="false">R255*(P255/100)</f>
        <v>263.0408</v>
      </c>
      <c r="T255" s="4" t="n">
        <f aca="false">R255-S255</f>
        <v>12888.9992</v>
      </c>
    </row>
    <row r="256" customFormat="false" ht="15" hidden="false" customHeight="false" outlineLevel="0" collapsed="false">
      <c r="A256" s="2" t="n">
        <v>800255</v>
      </c>
      <c r="B256" s="2" t="s">
        <v>318</v>
      </c>
      <c r="C256" s="2" t="s">
        <v>41</v>
      </c>
      <c r="D256" s="2" t="s">
        <v>73</v>
      </c>
      <c r="E256" s="2" t="s">
        <v>167</v>
      </c>
      <c r="F256" s="2" t="s">
        <v>35</v>
      </c>
      <c r="G256" s="2" t="s">
        <v>25</v>
      </c>
      <c r="H256" s="2" t="s">
        <v>26</v>
      </c>
      <c r="I256" s="2" t="s">
        <v>27</v>
      </c>
      <c r="J256" s="2" t="s">
        <v>28</v>
      </c>
      <c r="K256" s="2" t="s">
        <v>29</v>
      </c>
      <c r="L256" s="2" t="s">
        <v>161</v>
      </c>
      <c r="M256" s="2" t="n">
        <v>32</v>
      </c>
      <c r="N256" s="3" t="n">
        <v>30</v>
      </c>
      <c r="O256" s="4" t="n">
        <v>26.48</v>
      </c>
      <c r="P256" s="5" t="n">
        <v>7.5</v>
      </c>
      <c r="Q256" s="2" t="n">
        <v>0</v>
      </c>
      <c r="R256" s="4" t="n">
        <f aca="false">M256*O256</f>
        <v>847.36</v>
      </c>
      <c r="S256" s="4" t="n">
        <f aca="false">R256*(P256/100)</f>
        <v>63.552</v>
      </c>
      <c r="T256" s="4" t="n">
        <f aca="false">R256-S256</f>
        <v>783.808</v>
      </c>
    </row>
    <row r="257" customFormat="false" ht="15" hidden="false" customHeight="false" outlineLevel="0" collapsed="false">
      <c r="A257" s="2" t="n">
        <v>800256</v>
      </c>
      <c r="B257" s="2" t="s">
        <v>20</v>
      </c>
      <c r="C257" s="2" t="s">
        <v>21</v>
      </c>
      <c r="D257" s="2" t="s">
        <v>101</v>
      </c>
      <c r="E257" s="2" t="s">
        <v>102</v>
      </c>
      <c r="F257" s="2" t="s">
        <v>78</v>
      </c>
      <c r="G257" s="2" t="s">
        <v>25</v>
      </c>
      <c r="H257" s="2" t="s">
        <v>26</v>
      </c>
      <c r="I257" s="2" t="s">
        <v>37</v>
      </c>
      <c r="J257" s="2" t="s">
        <v>38</v>
      </c>
      <c r="K257" s="2" t="s">
        <v>39</v>
      </c>
      <c r="L257" s="2" t="s">
        <v>161</v>
      </c>
      <c r="M257" s="2" t="n">
        <v>271</v>
      </c>
      <c r="N257" s="3" t="n">
        <v>30</v>
      </c>
      <c r="O257" s="4" t="n">
        <v>29.54</v>
      </c>
      <c r="P257" s="5" t="n">
        <v>0</v>
      </c>
      <c r="Q257" s="2" t="n">
        <v>0</v>
      </c>
      <c r="R257" s="4" t="n">
        <f aca="false">M257*O257</f>
        <v>8005.34</v>
      </c>
      <c r="S257" s="4" t="n">
        <f aca="false">R257*(P257/100)</f>
        <v>0</v>
      </c>
      <c r="T257" s="4" t="n">
        <f aca="false">R257-S257</f>
        <v>8005.34</v>
      </c>
    </row>
    <row r="258" customFormat="false" ht="15" hidden="false" customHeight="false" outlineLevel="0" collapsed="false">
      <c r="A258" s="2" t="n">
        <v>800257</v>
      </c>
      <c r="B258" s="2" t="s">
        <v>319</v>
      </c>
      <c r="C258" s="2" t="s">
        <v>21</v>
      </c>
      <c r="D258" s="2" t="s">
        <v>116</v>
      </c>
      <c r="E258" s="2" t="s">
        <v>309</v>
      </c>
      <c r="F258" s="2" t="s">
        <v>87</v>
      </c>
      <c r="G258" s="2" t="s">
        <v>94</v>
      </c>
      <c r="H258" s="2" t="s">
        <v>26</v>
      </c>
      <c r="I258" s="2" t="s">
        <v>69</v>
      </c>
      <c r="J258" s="2" t="s">
        <v>134</v>
      </c>
      <c r="K258" s="2" t="s">
        <v>71</v>
      </c>
      <c r="L258" s="2" t="s">
        <v>30</v>
      </c>
      <c r="M258" s="2" t="n">
        <v>88</v>
      </c>
      <c r="N258" s="3" t="n">
        <v>40</v>
      </c>
      <c r="O258" s="4" t="n">
        <v>37.57</v>
      </c>
      <c r="P258" s="5" t="n">
        <v>10</v>
      </c>
      <c r="Q258" s="2" t="n">
        <v>0</v>
      </c>
      <c r="R258" s="4" t="n">
        <f aca="false">M258*O258</f>
        <v>3306.16</v>
      </c>
      <c r="S258" s="4" t="n">
        <f aca="false">R258*(P258/100)</f>
        <v>330.616</v>
      </c>
      <c r="T258" s="4" t="n">
        <f aca="false">R258-S258</f>
        <v>2975.544</v>
      </c>
    </row>
    <row r="259" customFormat="false" ht="15" hidden="false" customHeight="false" outlineLevel="0" collapsed="false">
      <c r="A259" s="2" t="n">
        <v>800258</v>
      </c>
      <c r="B259" s="2" t="s">
        <v>320</v>
      </c>
      <c r="C259" s="2" t="s">
        <v>21</v>
      </c>
      <c r="D259" s="2" t="s">
        <v>101</v>
      </c>
      <c r="E259" s="2" t="s">
        <v>145</v>
      </c>
      <c r="F259" s="2" t="s">
        <v>24</v>
      </c>
      <c r="G259" s="2" t="s">
        <v>68</v>
      </c>
      <c r="H259" s="2" t="s">
        <v>26</v>
      </c>
      <c r="I259" s="2" t="s">
        <v>44</v>
      </c>
      <c r="J259" s="2" t="s">
        <v>45</v>
      </c>
      <c r="K259" s="2" t="s">
        <v>111</v>
      </c>
      <c r="L259" s="2" t="s">
        <v>161</v>
      </c>
      <c r="M259" s="2" t="n">
        <v>378</v>
      </c>
      <c r="N259" s="3" t="n">
        <v>10</v>
      </c>
      <c r="O259" s="4" t="n">
        <v>9.66</v>
      </c>
      <c r="P259" s="5" t="n">
        <v>7.5</v>
      </c>
      <c r="Q259" s="2" t="n">
        <v>1</v>
      </c>
      <c r="R259" s="4" t="n">
        <f aca="false">M259*O259</f>
        <v>3651.48</v>
      </c>
      <c r="S259" s="4" t="n">
        <f aca="false">R259*(P259/100)</f>
        <v>273.861</v>
      </c>
      <c r="T259" s="4" t="n">
        <f aca="false">R259-S259</f>
        <v>3377.619</v>
      </c>
    </row>
    <row r="260" customFormat="false" ht="15" hidden="false" customHeight="false" outlineLevel="0" collapsed="false">
      <c r="A260" s="2" t="n">
        <v>800259</v>
      </c>
      <c r="B260" s="2" t="s">
        <v>321</v>
      </c>
      <c r="C260" s="2" t="s">
        <v>84</v>
      </c>
      <c r="D260" s="2" t="s">
        <v>85</v>
      </c>
      <c r="E260" s="2" t="s">
        <v>86</v>
      </c>
      <c r="F260" s="2" t="s">
        <v>24</v>
      </c>
      <c r="G260" s="2" t="s">
        <v>106</v>
      </c>
      <c r="H260" s="2" t="s">
        <v>26</v>
      </c>
      <c r="I260" s="2" t="s">
        <v>37</v>
      </c>
      <c r="J260" s="2" t="s">
        <v>38</v>
      </c>
      <c r="K260" s="2" t="s">
        <v>39</v>
      </c>
      <c r="L260" s="2" t="s">
        <v>64</v>
      </c>
      <c r="M260" s="2" t="n">
        <v>74</v>
      </c>
      <c r="N260" s="3" t="n">
        <v>30</v>
      </c>
      <c r="O260" s="4" t="n">
        <v>26.19</v>
      </c>
      <c r="P260" s="5" t="n">
        <v>12.5</v>
      </c>
      <c r="Q260" s="2" t="n">
        <v>1</v>
      </c>
      <c r="R260" s="4" t="n">
        <f aca="false">M260*O260</f>
        <v>1938.06</v>
      </c>
      <c r="S260" s="4" t="n">
        <f aca="false">R260*(P260/100)</f>
        <v>242.2575</v>
      </c>
      <c r="T260" s="4" t="n">
        <f aca="false">R260-S260</f>
        <v>1695.8025</v>
      </c>
    </row>
    <row r="261" customFormat="false" ht="15" hidden="false" customHeight="false" outlineLevel="0" collapsed="false">
      <c r="A261" s="2" t="n">
        <v>800260</v>
      </c>
      <c r="B261" s="2" t="s">
        <v>303</v>
      </c>
      <c r="C261" s="2" t="s">
        <v>21</v>
      </c>
      <c r="D261" s="2" t="s">
        <v>171</v>
      </c>
      <c r="E261" s="2" t="s">
        <v>192</v>
      </c>
      <c r="F261" s="2" t="s">
        <v>24</v>
      </c>
      <c r="G261" s="2" t="s">
        <v>94</v>
      </c>
      <c r="H261" s="2" t="s">
        <v>26</v>
      </c>
      <c r="I261" s="2" t="s">
        <v>44</v>
      </c>
      <c r="J261" s="2" t="s">
        <v>45</v>
      </c>
      <c r="K261" s="2" t="s">
        <v>111</v>
      </c>
      <c r="L261" s="2" t="s">
        <v>107</v>
      </c>
      <c r="M261" s="2" t="n">
        <v>456</v>
      </c>
      <c r="N261" s="3" t="n">
        <v>10</v>
      </c>
      <c r="O261" s="4" t="n">
        <v>8.67</v>
      </c>
      <c r="P261" s="5" t="n">
        <v>0</v>
      </c>
      <c r="Q261" s="2" t="n">
        <v>0</v>
      </c>
      <c r="R261" s="4" t="n">
        <f aca="false">M261*O261</f>
        <v>3953.52</v>
      </c>
      <c r="S261" s="4" t="n">
        <f aca="false">R261*(P261/100)</f>
        <v>0</v>
      </c>
      <c r="T261" s="4" t="n">
        <f aca="false">R261-S261</f>
        <v>3953.52</v>
      </c>
    </row>
    <row r="262" customFormat="false" ht="15" hidden="false" customHeight="false" outlineLevel="0" collapsed="false">
      <c r="A262" s="2" t="n">
        <v>800261</v>
      </c>
      <c r="B262" s="2" t="s">
        <v>322</v>
      </c>
      <c r="C262" s="2" t="s">
        <v>21</v>
      </c>
      <c r="D262" s="2" t="s">
        <v>116</v>
      </c>
      <c r="E262" s="2" t="s">
        <v>170</v>
      </c>
      <c r="F262" s="2" t="s">
        <v>24</v>
      </c>
      <c r="G262" s="2" t="s">
        <v>52</v>
      </c>
      <c r="H262" s="2" t="s">
        <v>26</v>
      </c>
      <c r="I262" s="2" t="s">
        <v>27</v>
      </c>
      <c r="J262" s="2" t="s">
        <v>91</v>
      </c>
      <c r="K262" s="2" t="s">
        <v>29</v>
      </c>
      <c r="L262" s="2" t="s">
        <v>161</v>
      </c>
      <c r="M262" s="2" t="n">
        <v>282</v>
      </c>
      <c r="N262" s="3" t="n">
        <v>35</v>
      </c>
      <c r="O262" s="4" t="n">
        <v>29.99</v>
      </c>
      <c r="P262" s="5" t="n">
        <v>5</v>
      </c>
      <c r="Q262" s="2" t="n">
        <v>0</v>
      </c>
      <c r="R262" s="4" t="n">
        <f aca="false">M262*O262</f>
        <v>8457.18</v>
      </c>
      <c r="S262" s="4" t="n">
        <f aca="false">R262*(P262/100)</f>
        <v>422.859</v>
      </c>
      <c r="T262" s="4" t="n">
        <f aca="false">R262-S262</f>
        <v>8034.321</v>
      </c>
    </row>
    <row r="263" customFormat="false" ht="15" hidden="false" customHeight="false" outlineLevel="0" collapsed="false">
      <c r="A263" s="2" t="n">
        <v>800262</v>
      </c>
      <c r="B263" s="2" t="s">
        <v>180</v>
      </c>
      <c r="C263" s="2" t="s">
        <v>21</v>
      </c>
      <c r="D263" s="2" t="s">
        <v>101</v>
      </c>
      <c r="E263" s="2" t="s">
        <v>241</v>
      </c>
      <c r="F263" s="2" t="s">
        <v>35</v>
      </c>
      <c r="G263" s="2" t="s">
        <v>125</v>
      </c>
      <c r="H263" s="2" t="s">
        <v>26</v>
      </c>
      <c r="I263" s="2" t="s">
        <v>37</v>
      </c>
      <c r="J263" s="2" t="s">
        <v>38</v>
      </c>
      <c r="K263" s="2" t="s">
        <v>39</v>
      </c>
      <c r="L263" s="2" t="s">
        <v>47</v>
      </c>
      <c r="M263" s="2" t="n">
        <v>256</v>
      </c>
      <c r="N263" s="3" t="n">
        <v>30</v>
      </c>
      <c r="O263" s="4" t="n">
        <v>25.93</v>
      </c>
      <c r="P263" s="5" t="n">
        <v>0</v>
      </c>
      <c r="Q263" s="2" t="n">
        <v>0</v>
      </c>
      <c r="R263" s="4" t="n">
        <f aca="false">M263*O263</f>
        <v>6638.08</v>
      </c>
      <c r="S263" s="4" t="n">
        <f aca="false">R263*(P263/100)</f>
        <v>0</v>
      </c>
      <c r="T263" s="4" t="n">
        <f aca="false">R263-S263</f>
        <v>6638.08</v>
      </c>
    </row>
    <row r="264" customFormat="false" ht="15" hidden="false" customHeight="false" outlineLevel="0" collapsed="false">
      <c r="A264" s="2" t="n">
        <v>800263</v>
      </c>
      <c r="B264" s="2" t="s">
        <v>323</v>
      </c>
      <c r="C264" s="2" t="s">
        <v>21</v>
      </c>
      <c r="D264" s="2" t="s">
        <v>116</v>
      </c>
      <c r="E264" s="2" t="s">
        <v>324</v>
      </c>
      <c r="F264" s="2" t="s">
        <v>24</v>
      </c>
      <c r="G264" s="2" t="s">
        <v>103</v>
      </c>
      <c r="H264" s="2" t="s">
        <v>26</v>
      </c>
      <c r="I264" s="2" t="s">
        <v>44</v>
      </c>
      <c r="J264" s="2" t="s">
        <v>126</v>
      </c>
      <c r="K264" s="2" t="s">
        <v>71</v>
      </c>
      <c r="L264" s="2" t="s">
        <v>47</v>
      </c>
      <c r="M264" s="2" t="n">
        <v>318</v>
      </c>
      <c r="N264" s="3" t="n">
        <v>20</v>
      </c>
      <c r="O264" s="4" t="n">
        <v>18.64</v>
      </c>
      <c r="P264" s="5" t="n">
        <v>0</v>
      </c>
      <c r="Q264" s="2" t="n">
        <v>0</v>
      </c>
      <c r="R264" s="4" t="n">
        <f aca="false">M264*O264</f>
        <v>5927.52</v>
      </c>
      <c r="S264" s="4" t="n">
        <f aca="false">R264*(P264/100)</f>
        <v>0</v>
      </c>
      <c r="T264" s="4" t="n">
        <f aca="false">R264-S264</f>
        <v>5927.52</v>
      </c>
    </row>
    <row r="265" customFormat="false" ht="15" hidden="false" customHeight="false" outlineLevel="0" collapsed="false">
      <c r="A265" s="2" t="n">
        <v>800264</v>
      </c>
      <c r="B265" s="2" t="s">
        <v>325</v>
      </c>
      <c r="C265" s="2" t="s">
        <v>32</v>
      </c>
      <c r="D265" s="2" t="s">
        <v>151</v>
      </c>
      <c r="E265" s="2" t="s">
        <v>158</v>
      </c>
      <c r="F265" s="2" t="s">
        <v>78</v>
      </c>
      <c r="G265" s="2" t="s">
        <v>137</v>
      </c>
      <c r="H265" s="2" t="s">
        <v>26</v>
      </c>
      <c r="I265" s="2" t="s">
        <v>69</v>
      </c>
      <c r="J265" s="2" t="s">
        <v>134</v>
      </c>
      <c r="K265" s="2" t="s">
        <v>39</v>
      </c>
      <c r="L265" s="2" t="s">
        <v>60</v>
      </c>
      <c r="M265" s="2" t="n">
        <v>45</v>
      </c>
      <c r="N265" s="3" t="n">
        <v>20</v>
      </c>
      <c r="O265" s="4" t="n">
        <v>17.47</v>
      </c>
      <c r="P265" s="5" t="n">
        <v>10</v>
      </c>
      <c r="Q265" s="2" t="n">
        <v>1</v>
      </c>
      <c r="R265" s="4" t="n">
        <f aca="false">M265*O265</f>
        <v>786.15</v>
      </c>
      <c r="S265" s="4" t="n">
        <f aca="false">R265*(P265/100)</f>
        <v>78.615</v>
      </c>
      <c r="T265" s="4" t="n">
        <f aca="false">R265-S265</f>
        <v>707.535</v>
      </c>
    </row>
    <row r="266" customFormat="false" ht="15" hidden="false" customHeight="false" outlineLevel="0" collapsed="false">
      <c r="A266" s="2" t="n">
        <v>800265</v>
      </c>
      <c r="B266" s="2" t="s">
        <v>272</v>
      </c>
      <c r="C266" s="2" t="s">
        <v>21</v>
      </c>
      <c r="D266" s="2" t="s">
        <v>101</v>
      </c>
      <c r="E266" s="2" t="s">
        <v>241</v>
      </c>
      <c r="F266" s="2" t="s">
        <v>24</v>
      </c>
      <c r="G266" s="2" t="s">
        <v>137</v>
      </c>
      <c r="H266" s="2" t="s">
        <v>26</v>
      </c>
      <c r="I266" s="2" t="s">
        <v>27</v>
      </c>
      <c r="J266" s="2" t="s">
        <v>28</v>
      </c>
      <c r="K266" s="2" t="s">
        <v>63</v>
      </c>
      <c r="L266" s="2" t="s">
        <v>107</v>
      </c>
      <c r="M266" s="2" t="n">
        <v>163</v>
      </c>
      <c r="N266" s="3" t="n">
        <v>50</v>
      </c>
      <c r="O266" s="4" t="n">
        <v>45.62</v>
      </c>
      <c r="P266" s="5" t="n">
        <v>0</v>
      </c>
      <c r="Q266" s="2" t="n">
        <v>0</v>
      </c>
      <c r="R266" s="4" t="n">
        <f aca="false">M266*O266</f>
        <v>7436.06</v>
      </c>
      <c r="S266" s="4" t="n">
        <f aca="false">R266*(P266/100)</f>
        <v>0</v>
      </c>
      <c r="T266" s="4" t="n">
        <f aca="false">R266-S266</f>
        <v>7436.06</v>
      </c>
    </row>
    <row r="267" customFormat="false" ht="15" hidden="false" customHeight="false" outlineLevel="0" collapsed="false">
      <c r="A267" s="2" t="n">
        <v>800266</v>
      </c>
      <c r="B267" s="2" t="s">
        <v>326</v>
      </c>
      <c r="C267" s="2" t="s">
        <v>32</v>
      </c>
      <c r="D267" s="2" t="s">
        <v>55</v>
      </c>
      <c r="E267" s="2" t="s">
        <v>93</v>
      </c>
      <c r="F267" s="2" t="s">
        <v>51</v>
      </c>
      <c r="G267" s="2" t="s">
        <v>90</v>
      </c>
      <c r="H267" s="2" t="s">
        <v>26</v>
      </c>
      <c r="I267" s="2" t="s">
        <v>57</v>
      </c>
      <c r="J267" s="2" t="s">
        <v>104</v>
      </c>
      <c r="K267" s="2" t="s">
        <v>59</v>
      </c>
      <c r="L267" s="2" t="s">
        <v>47</v>
      </c>
      <c r="M267" s="2" t="n">
        <v>163</v>
      </c>
      <c r="N267" s="3" t="n">
        <v>25</v>
      </c>
      <c r="O267" s="4" t="n">
        <v>22.59</v>
      </c>
      <c r="P267" s="5" t="n">
        <v>10</v>
      </c>
      <c r="Q267" s="2" t="n">
        <v>0</v>
      </c>
      <c r="R267" s="4" t="n">
        <f aca="false">M267*O267</f>
        <v>3682.17</v>
      </c>
      <c r="S267" s="4" t="n">
        <f aca="false">R267*(P267/100)</f>
        <v>368.217</v>
      </c>
      <c r="T267" s="4" t="n">
        <f aca="false">R267-S267</f>
        <v>3313.953</v>
      </c>
    </row>
    <row r="268" customFormat="false" ht="15" hidden="false" customHeight="false" outlineLevel="0" collapsed="false">
      <c r="A268" s="2" t="n">
        <v>800267</v>
      </c>
      <c r="B268" s="2" t="s">
        <v>327</v>
      </c>
      <c r="C268" s="2" t="s">
        <v>32</v>
      </c>
      <c r="D268" s="2" t="s">
        <v>76</v>
      </c>
      <c r="E268" s="2" t="s">
        <v>96</v>
      </c>
      <c r="F268" s="2" t="s">
        <v>51</v>
      </c>
      <c r="G268" s="2" t="s">
        <v>125</v>
      </c>
      <c r="H268" s="2" t="s">
        <v>26</v>
      </c>
      <c r="I268" s="2" t="s">
        <v>44</v>
      </c>
      <c r="J268" s="2" t="s">
        <v>45</v>
      </c>
      <c r="K268" s="2" t="s">
        <v>111</v>
      </c>
      <c r="L268" s="2" t="s">
        <v>30</v>
      </c>
      <c r="M268" s="2" t="n">
        <v>420</v>
      </c>
      <c r="N268" s="3" t="n">
        <v>10</v>
      </c>
      <c r="O268" s="4" t="n">
        <v>9.18</v>
      </c>
      <c r="P268" s="5" t="n">
        <v>7.5</v>
      </c>
      <c r="Q268" s="2" t="n">
        <v>1</v>
      </c>
      <c r="R268" s="4" t="n">
        <f aca="false">M268*O268</f>
        <v>3855.6</v>
      </c>
      <c r="S268" s="4" t="n">
        <f aca="false">R268*(P268/100)</f>
        <v>289.17</v>
      </c>
      <c r="T268" s="4" t="n">
        <f aca="false">R268-S268</f>
        <v>3566.43</v>
      </c>
    </row>
    <row r="269" customFormat="false" ht="15" hidden="false" customHeight="false" outlineLevel="0" collapsed="false">
      <c r="A269" s="2" t="n">
        <v>800268</v>
      </c>
      <c r="B269" s="2" t="s">
        <v>31</v>
      </c>
      <c r="C269" s="2" t="s">
        <v>32</v>
      </c>
      <c r="D269" s="2" t="s">
        <v>66</v>
      </c>
      <c r="E269" s="2" t="s">
        <v>67</v>
      </c>
      <c r="F269" s="2" t="s">
        <v>35</v>
      </c>
      <c r="G269" s="2" t="s">
        <v>25</v>
      </c>
      <c r="H269" s="2" t="s">
        <v>26</v>
      </c>
      <c r="I269" s="2" t="s">
        <v>69</v>
      </c>
      <c r="J269" s="2" t="s">
        <v>81</v>
      </c>
      <c r="K269" s="2" t="s">
        <v>39</v>
      </c>
      <c r="L269" s="2" t="s">
        <v>132</v>
      </c>
      <c r="M269" s="2" t="n">
        <v>434</v>
      </c>
      <c r="N269" s="3" t="n">
        <v>20</v>
      </c>
      <c r="O269" s="4" t="n">
        <v>19.78</v>
      </c>
      <c r="P269" s="5" t="n">
        <v>7.5</v>
      </c>
      <c r="Q269" s="2" t="n">
        <v>0</v>
      </c>
      <c r="R269" s="4" t="n">
        <f aca="false">M269*O269</f>
        <v>8584.52</v>
      </c>
      <c r="S269" s="4" t="n">
        <f aca="false">R269*(P269/100)</f>
        <v>643.839</v>
      </c>
      <c r="T269" s="4" t="n">
        <f aca="false">R269-S269</f>
        <v>7940.681</v>
      </c>
    </row>
    <row r="270" customFormat="false" ht="15" hidden="false" customHeight="false" outlineLevel="0" collapsed="false">
      <c r="A270" s="2" t="n">
        <v>800269</v>
      </c>
      <c r="B270" s="2" t="s">
        <v>328</v>
      </c>
      <c r="C270" s="2" t="s">
        <v>21</v>
      </c>
      <c r="D270" s="2" t="s">
        <v>116</v>
      </c>
      <c r="E270" s="2" t="s">
        <v>324</v>
      </c>
      <c r="F270" s="2" t="s">
        <v>87</v>
      </c>
      <c r="G270" s="2" t="s">
        <v>90</v>
      </c>
      <c r="H270" s="2" t="s">
        <v>26</v>
      </c>
      <c r="I270" s="2" t="s">
        <v>69</v>
      </c>
      <c r="J270" s="2" t="s">
        <v>70</v>
      </c>
      <c r="K270" s="2" t="s">
        <v>71</v>
      </c>
      <c r="L270" s="2" t="s">
        <v>53</v>
      </c>
      <c r="M270" s="2" t="n">
        <v>453</v>
      </c>
      <c r="N270" s="3" t="n">
        <v>40</v>
      </c>
      <c r="O270" s="4" t="n">
        <v>39.5</v>
      </c>
      <c r="P270" s="5" t="n">
        <v>10</v>
      </c>
      <c r="Q270" s="2" t="n">
        <v>1</v>
      </c>
      <c r="R270" s="4" t="n">
        <f aca="false">M270*O270</f>
        <v>17893.5</v>
      </c>
      <c r="S270" s="4" t="n">
        <f aca="false">R270*(P270/100)</f>
        <v>1789.35</v>
      </c>
      <c r="T270" s="4" t="n">
        <f aca="false">R270-S270</f>
        <v>16104.15</v>
      </c>
    </row>
    <row r="271" customFormat="false" ht="15" hidden="false" customHeight="false" outlineLevel="0" collapsed="false">
      <c r="A271" s="2" t="n">
        <v>800270</v>
      </c>
      <c r="B271" s="2" t="s">
        <v>329</v>
      </c>
      <c r="C271" s="2" t="s">
        <v>32</v>
      </c>
      <c r="D271" s="2" t="s">
        <v>33</v>
      </c>
      <c r="E271" s="2" t="s">
        <v>34</v>
      </c>
      <c r="F271" s="2" t="s">
        <v>87</v>
      </c>
      <c r="G271" s="2" t="s">
        <v>125</v>
      </c>
      <c r="H271" s="2" t="s">
        <v>26</v>
      </c>
      <c r="I271" s="2" t="s">
        <v>44</v>
      </c>
      <c r="J271" s="2" t="s">
        <v>126</v>
      </c>
      <c r="K271" s="2" t="s">
        <v>71</v>
      </c>
      <c r="L271" s="2" t="s">
        <v>132</v>
      </c>
      <c r="M271" s="2" t="n">
        <v>380</v>
      </c>
      <c r="N271" s="3" t="n">
        <v>20</v>
      </c>
      <c r="O271" s="4" t="n">
        <v>18.96</v>
      </c>
      <c r="P271" s="5" t="n">
        <v>0</v>
      </c>
      <c r="Q271" s="2" t="n">
        <v>0</v>
      </c>
      <c r="R271" s="4" t="n">
        <f aca="false">M271*O271</f>
        <v>7204.8</v>
      </c>
      <c r="S271" s="4" t="n">
        <f aca="false">R271*(P271/100)</f>
        <v>0</v>
      </c>
      <c r="T271" s="4" t="n">
        <f aca="false">R271-S271</f>
        <v>7204.8</v>
      </c>
    </row>
    <row r="272" customFormat="false" ht="15" hidden="false" customHeight="false" outlineLevel="0" collapsed="false">
      <c r="A272" s="2" t="n">
        <v>800271</v>
      </c>
      <c r="B272" s="2" t="s">
        <v>140</v>
      </c>
      <c r="C272" s="2" t="s">
        <v>84</v>
      </c>
      <c r="D272" s="2" t="s">
        <v>85</v>
      </c>
      <c r="E272" s="2" t="s">
        <v>124</v>
      </c>
      <c r="F272" s="2" t="s">
        <v>78</v>
      </c>
      <c r="G272" s="2" t="s">
        <v>52</v>
      </c>
      <c r="H272" s="2" t="s">
        <v>26</v>
      </c>
      <c r="I272" s="2" t="s">
        <v>69</v>
      </c>
      <c r="J272" s="2" t="s">
        <v>70</v>
      </c>
      <c r="K272" s="2" t="s">
        <v>71</v>
      </c>
      <c r="L272" s="2" t="s">
        <v>53</v>
      </c>
      <c r="M272" s="2" t="n">
        <v>132</v>
      </c>
      <c r="N272" s="3" t="n">
        <v>40</v>
      </c>
      <c r="O272" s="4" t="n">
        <v>34.11</v>
      </c>
      <c r="P272" s="5" t="n">
        <v>12.5</v>
      </c>
      <c r="Q272" s="2" t="n">
        <v>0</v>
      </c>
      <c r="R272" s="4" t="n">
        <f aca="false">M272*O272</f>
        <v>4502.52</v>
      </c>
      <c r="S272" s="4" t="n">
        <f aca="false">R272*(P272/100)</f>
        <v>562.815</v>
      </c>
      <c r="T272" s="4" t="n">
        <f aca="false">R272-S272</f>
        <v>3939.705</v>
      </c>
    </row>
    <row r="273" customFormat="false" ht="15" hidden="false" customHeight="false" outlineLevel="0" collapsed="false">
      <c r="A273" s="2" t="n">
        <v>800272</v>
      </c>
      <c r="B273" s="2" t="s">
        <v>330</v>
      </c>
      <c r="C273" s="2" t="s">
        <v>32</v>
      </c>
      <c r="D273" s="2" t="s">
        <v>33</v>
      </c>
      <c r="E273" s="2" t="s">
        <v>187</v>
      </c>
      <c r="F273" s="2" t="s">
        <v>24</v>
      </c>
      <c r="G273" s="2" t="s">
        <v>137</v>
      </c>
      <c r="H273" s="2" t="s">
        <v>26</v>
      </c>
      <c r="I273" s="2" t="s">
        <v>69</v>
      </c>
      <c r="J273" s="2" t="s">
        <v>134</v>
      </c>
      <c r="K273" s="2" t="s">
        <v>39</v>
      </c>
      <c r="L273" s="2" t="s">
        <v>64</v>
      </c>
      <c r="M273" s="2" t="n">
        <v>320</v>
      </c>
      <c r="N273" s="3" t="n">
        <v>20</v>
      </c>
      <c r="O273" s="4" t="n">
        <v>18.97</v>
      </c>
      <c r="P273" s="5" t="n">
        <v>0</v>
      </c>
      <c r="Q273" s="2" t="n">
        <v>0</v>
      </c>
      <c r="R273" s="4" t="n">
        <f aca="false">M273*O273</f>
        <v>6070.4</v>
      </c>
      <c r="S273" s="4" t="n">
        <f aca="false">R273*(P273/100)</f>
        <v>0</v>
      </c>
      <c r="T273" s="4" t="n">
        <f aca="false">R273-S273</f>
        <v>6070.4</v>
      </c>
    </row>
    <row r="274" customFormat="false" ht="15" hidden="false" customHeight="false" outlineLevel="0" collapsed="false">
      <c r="A274" s="2" t="n">
        <v>800273</v>
      </c>
      <c r="B274" s="2" t="s">
        <v>302</v>
      </c>
      <c r="C274" s="2" t="s">
        <v>84</v>
      </c>
      <c r="D274" s="2" t="s">
        <v>128</v>
      </c>
      <c r="E274" s="2" t="s">
        <v>199</v>
      </c>
      <c r="F274" s="2" t="s">
        <v>51</v>
      </c>
      <c r="G274" s="2" t="s">
        <v>143</v>
      </c>
      <c r="H274" s="2" t="s">
        <v>26</v>
      </c>
      <c r="I274" s="2" t="s">
        <v>69</v>
      </c>
      <c r="J274" s="2" t="s">
        <v>81</v>
      </c>
      <c r="K274" s="2" t="s">
        <v>71</v>
      </c>
      <c r="L274" s="2" t="s">
        <v>107</v>
      </c>
      <c r="M274" s="2" t="n">
        <v>185</v>
      </c>
      <c r="N274" s="3" t="n">
        <v>40</v>
      </c>
      <c r="O274" s="4" t="n">
        <v>34.76</v>
      </c>
      <c r="P274" s="5" t="n">
        <v>0</v>
      </c>
      <c r="Q274" s="2" t="n">
        <v>1</v>
      </c>
      <c r="R274" s="4" t="n">
        <f aca="false">M274*O274</f>
        <v>6430.6</v>
      </c>
      <c r="S274" s="4" t="n">
        <f aca="false">R274*(P274/100)</f>
        <v>0</v>
      </c>
      <c r="T274" s="4" t="n">
        <f aca="false">R274-S274</f>
        <v>6430.6</v>
      </c>
    </row>
    <row r="275" customFormat="false" ht="15" hidden="false" customHeight="false" outlineLevel="0" collapsed="false">
      <c r="A275" s="2" t="n">
        <v>800274</v>
      </c>
      <c r="B275" s="2" t="s">
        <v>331</v>
      </c>
      <c r="C275" s="2" t="s">
        <v>41</v>
      </c>
      <c r="D275" s="2" t="s">
        <v>49</v>
      </c>
      <c r="E275" s="2" t="s">
        <v>80</v>
      </c>
      <c r="F275" s="2" t="s">
        <v>24</v>
      </c>
      <c r="G275" s="2" t="s">
        <v>125</v>
      </c>
      <c r="H275" s="2" t="s">
        <v>26</v>
      </c>
      <c r="I275" s="2" t="s">
        <v>37</v>
      </c>
      <c r="J275" s="2" t="s">
        <v>38</v>
      </c>
      <c r="K275" s="2" t="s">
        <v>39</v>
      </c>
      <c r="L275" s="2" t="s">
        <v>99</v>
      </c>
      <c r="M275" s="2" t="n">
        <v>360</v>
      </c>
      <c r="N275" s="3" t="n">
        <v>30</v>
      </c>
      <c r="O275" s="4" t="n">
        <v>27.97</v>
      </c>
      <c r="P275" s="5" t="n">
        <v>0</v>
      </c>
      <c r="Q275" s="2" t="n">
        <v>1</v>
      </c>
      <c r="R275" s="4" t="n">
        <f aca="false">M275*O275</f>
        <v>10069.2</v>
      </c>
      <c r="S275" s="4" t="n">
        <f aca="false">R275*(P275/100)</f>
        <v>0</v>
      </c>
      <c r="T275" s="4" t="n">
        <f aca="false">R275-S275</f>
        <v>10069.2</v>
      </c>
    </row>
    <row r="276" customFormat="false" ht="15" hidden="false" customHeight="false" outlineLevel="0" collapsed="false">
      <c r="A276" s="2" t="n">
        <v>800275</v>
      </c>
      <c r="B276" s="2" t="s">
        <v>302</v>
      </c>
      <c r="C276" s="2" t="s">
        <v>84</v>
      </c>
      <c r="D276" s="2" t="s">
        <v>85</v>
      </c>
      <c r="E276" s="2" t="s">
        <v>86</v>
      </c>
      <c r="F276" s="2" t="s">
        <v>78</v>
      </c>
      <c r="G276" s="2" t="s">
        <v>125</v>
      </c>
      <c r="H276" s="2" t="s">
        <v>26</v>
      </c>
      <c r="I276" s="2" t="s">
        <v>37</v>
      </c>
      <c r="J276" s="2" t="s">
        <v>38</v>
      </c>
      <c r="K276" s="2" t="s">
        <v>39</v>
      </c>
      <c r="L276" s="2" t="s">
        <v>53</v>
      </c>
      <c r="M276" s="2" t="n">
        <v>36</v>
      </c>
      <c r="N276" s="3" t="n">
        <v>30</v>
      </c>
      <c r="O276" s="4" t="n">
        <v>26.26</v>
      </c>
      <c r="P276" s="5" t="n">
        <v>7.5</v>
      </c>
      <c r="Q276" s="2" t="n">
        <v>0</v>
      </c>
      <c r="R276" s="4" t="n">
        <f aca="false">M276*O276</f>
        <v>945.36</v>
      </c>
      <c r="S276" s="4" t="n">
        <f aca="false">R276*(P276/100)</f>
        <v>70.902</v>
      </c>
      <c r="T276" s="4" t="n">
        <f aca="false">R276-S276</f>
        <v>874.458</v>
      </c>
    </row>
    <row r="277" customFormat="false" ht="15" hidden="false" customHeight="false" outlineLevel="0" collapsed="false">
      <c r="A277" s="2" t="n">
        <v>800276</v>
      </c>
      <c r="B277" s="2" t="s">
        <v>195</v>
      </c>
      <c r="C277" s="2" t="s">
        <v>21</v>
      </c>
      <c r="D277" s="2" t="s">
        <v>101</v>
      </c>
      <c r="E277" s="2" t="s">
        <v>145</v>
      </c>
      <c r="F277" s="2" t="s">
        <v>87</v>
      </c>
      <c r="G277" s="2" t="s">
        <v>125</v>
      </c>
      <c r="H277" s="2" t="s">
        <v>26</v>
      </c>
      <c r="I277" s="2" t="s">
        <v>69</v>
      </c>
      <c r="J277" s="2" t="s">
        <v>70</v>
      </c>
      <c r="K277" s="2" t="s">
        <v>71</v>
      </c>
      <c r="L277" s="2" t="s">
        <v>82</v>
      </c>
      <c r="M277" s="2" t="n">
        <v>183</v>
      </c>
      <c r="N277" s="3" t="n">
        <v>40</v>
      </c>
      <c r="O277" s="4" t="n">
        <v>34.94</v>
      </c>
      <c r="P277" s="5" t="n">
        <v>0</v>
      </c>
      <c r="Q277" s="2" t="n">
        <v>1</v>
      </c>
      <c r="R277" s="4" t="n">
        <f aca="false">M277*O277</f>
        <v>6394.02</v>
      </c>
      <c r="S277" s="4" t="n">
        <f aca="false">R277*(P277/100)</f>
        <v>0</v>
      </c>
      <c r="T277" s="4" t="n">
        <f aca="false">R277-S277</f>
        <v>6394.02</v>
      </c>
    </row>
    <row r="278" customFormat="false" ht="15" hidden="false" customHeight="false" outlineLevel="0" collapsed="false">
      <c r="A278" s="2" t="n">
        <v>800277</v>
      </c>
      <c r="B278" s="2" t="s">
        <v>332</v>
      </c>
      <c r="C278" s="2" t="s">
        <v>21</v>
      </c>
      <c r="D278" s="2" t="s">
        <v>147</v>
      </c>
      <c r="E278" s="2" t="s">
        <v>228</v>
      </c>
      <c r="F278" s="2" t="s">
        <v>24</v>
      </c>
      <c r="G278" s="2" t="s">
        <v>125</v>
      </c>
      <c r="H278" s="2" t="s">
        <v>26</v>
      </c>
      <c r="I278" s="2" t="s">
        <v>69</v>
      </c>
      <c r="J278" s="2" t="s">
        <v>81</v>
      </c>
      <c r="K278" s="2" t="s">
        <v>71</v>
      </c>
      <c r="L278" s="2" t="s">
        <v>107</v>
      </c>
      <c r="M278" s="2" t="n">
        <v>422</v>
      </c>
      <c r="N278" s="3" t="n">
        <v>40</v>
      </c>
      <c r="O278" s="4" t="n">
        <v>34.6</v>
      </c>
      <c r="P278" s="5" t="n">
        <v>0</v>
      </c>
      <c r="Q278" s="2" t="n">
        <v>0</v>
      </c>
      <c r="R278" s="4" t="n">
        <f aca="false">M278*O278</f>
        <v>14601.2</v>
      </c>
      <c r="S278" s="4" t="n">
        <f aca="false">R278*(P278/100)</f>
        <v>0</v>
      </c>
      <c r="T278" s="4" t="n">
        <f aca="false">R278-S278</f>
        <v>14601.2</v>
      </c>
    </row>
    <row r="279" customFormat="false" ht="15" hidden="false" customHeight="false" outlineLevel="0" collapsed="false">
      <c r="A279" s="2" t="n">
        <v>800278</v>
      </c>
      <c r="B279" s="2" t="s">
        <v>333</v>
      </c>
      <c r="C279" s="2" t="s">
        <v>41</v>
      </c>
      <c r="D279" s="2" t="s">
        <v>49</v>
      </c>
      <c r="E279" s="2" t="s">
        <v>80</v>
      </c>
      <c r="F279" s="2" t="s">
        <v>24</v>
      </c>
      <c r="G279" s="2" t="s">
        <v>103</v>
      </c>
      <c r="H279" s="2" t="s">
        <v>26</v>
      </c>
      <c r="I279" s="2" t="s">
        <v>57</v>
      </c>
      <c r="J279" s="2" t="s">
        <v>58</v>
      </c>
      <c r="K279" s="2" t="s">
        <v>59</v>
      </c>
      <c r="L279" s="2" t="s">
        <v>82</v>
      </c>
      <c r="M279" s="2" t="n">
        <v>299</v>
      </c>
      <c r="N279" s="3" t="n">
        <v>20</v>
      </c>
      <c r="O279" s="4" t="n">
        <v>18.05</v>
      </c>
      <c r="P279" s="5" t="n">
        <v>12.5</v>
      </c>
      <c r="Q279" s="2" t="n">
        <v>0</v>
      </c>
      <c r="R279" s="4" t="n">
        <f aca="false">M279*O279</f>
        <v>5396.95</v>
      </c>
      <c r="S279" s="4" t="n">
        <f aca="false">R279*(P279/100)</f>
        <v>674.61875</v>
      </c>
      <c r="T279" s="4" t="n">
        <f aca="false">R279-S279</f>
        <v>4722.33125</v>
      </c>
    </row>
    <row r="280" customFormat="false" ht="15" hidden="false" customHeight="false" outlineLevel="0" collapsed="false">
      <c r="A280" s="2" t="n">
        <v>800279</v>
      </c>
      <c r="B280" s="2" t="s">
        <v>245</v>
      </c>
      <c r="C280" s="2" t="s">
        <v>41</v>
      </c>
      <c r="D280" s="2" t="s">
        <v>73</v>
      </c>
      <c r="E280" s="2" t="s">
        <v>136</v>
      </c>
      <c r="F280" s="2" t="s">
        <v>87</v>
      </c>
      <c r="G280" s="2" t="s">
        <v>36</v>
      </c>
      <c r="H280" s="2" t="s">
        <v>26</v>
      </c>
      <c r="I280" s="2" t="s">
        <v>44</v>
      </c>
      <c r="J280" s="2" t="s">
        <v>45</v>
      </c>
      <c r="K280" s="2" t="s">
        <v>111</v>
      </c>
      <c r="L280" s="2" t="s">
        <v>47</v>
      </c>
      <c r="M280" s="2" t="n">
        <v>57</v>
      </c>
      <c r="N280" s="3" t="n">
        <v>10</v>
      </c>
      <c r="O280" s="4" t="n">
        <v>8.98</v>
      </c>
      <c r="P280" s="5" t="n">
        <v>10</v>
      </c>
      <c r="Q280" s="2" t="n">
        <v>0</v>
      </c>
      <c r="R280" s="4" t="n">
        <f aca="false">M280*O280</f>
        <v>511.86</v>
      </c>
      <c r="S280" s="4" t="n">
        <f aca="false">R280*(P280/100)</f>
        <v>51.186</v>
      </c>
      <c r="T280" s="4" t="n">
        <f aca="false">R280-S280</f>
        <v>460.674</v>
      </c>
    </row>
    <row r="281" customFormat="false" ht="15" hidden="false" customHeight="false" outlineLevel="0" collapsed="false">
      <c r="A281" s="2" t="n">
        <v>800280</v>
      </c>
      <c r="B281" s="2" t="s">
        <v>334</v>
      </c>
      <c r="C281" s="2" t="s">
        <v>21</v>
      </c>
      <c r="D281" s="2" t="s">
        <v>147</v>
      </c>
      <c r="E281" s="2" t="s">
        <v>148</v>
      </c>
      <c r="F281" s="2" t="s">
        <v>35</v>
      </c>
      <c r="G281" s="2" t="s">
        <v>94</v>
      </c>
      <c r="H281" s="2" t="s">
        <v>26</v>
      </c>
      <c r="I281" s="2" t="s">
        <v>69</v>
      </c>
      <c r="J281" s="2" t="s">
        <v>202</v>
      </c>
      <c r="K281" s="2" t="s">
        <v>39</v>
      </c>
      <c r="L281" s="2" t="s">
        <v>64</v>
      </c>
      <c r="M281" s="2" t="n">
        <v>330</v>
      </c>
      <c r="N281" s="3" t="n">
        <v>20</v>
      </c>
      <c r="O281" s="4" t="n">
        <v>19.49</v>
      </c>
      <c r="P281" s="5" t="n">
        <v>0</v>
      </c>
      <c r="Q281" s="2" t="n">
        <v>0</v>
      </c>
      <c r="R281" s="4" t="n">
        <f aca="false">M281*O281</f>
        <v>6431.7</v>
      </c>
      <c r="S281" s="4" t="n">
        <f aca="false">R281*(P281/100)</f>
        <v>0</v>
      </c>
      <c r="T281" s="4" t="n">
        <f aca="false">R281-S281</f>
        <v>6431.7</v>
      </c>
    </row>
    <row r="282" customFormat="false" ht="15" hidden="false" customHeight="false" outlineLevel="0" collapsed="false">
      <c r="A282" s="2" t="n">
        <v>800281</v>
      </c>
      <c r="B282" s="2" t="s">
        <v>335</v>
      </c>
      <c r="C282" s="2" t="s">
        <v>84</v>
      </c>
      <c r="D282" s="2" t="s">
        <v>85</v>
      </c>
      <c r="E282" s="2" t="s">
        <v>86</v>
      </c>
      <c r="F282" s="2" t="s">
        <v>51</v>
      </c>
      <c r="G282" s="2" t="s">
        <v>125</v>
      </c>
      <c r="H282" s="2" t="s">
        <v>26</v>
      </c>
      <c r="I282" s="2" t="s">
        <v>37</v>
      </c>
      <c r="J282" s="2" t="s">
        <v>38</v>
      </c>
      <c r="K282" s="2" t="s">
        <v>39</v>
      </c>
      <c r="L282" s="2" t="s">
        <v>107</v>
      </c>
      <c r="M282" s="2" t="n">
        <v>172</v>
      </c>
      <c r="N282" s="3" t="n">
        <v>30</v>
      </c>
      <c r="O282" s="4" t="n">
        <v>26.5</v>
      </c>
      <c r="P282" s="5" t="n">
        <v>0</v>
      </c>
      <c r="Q282" s="2" t="n">
        <v>1</v>
      </c>
      <c r="R282" s="4" t="n">
        <f aca="false">M282*O282</f>
        <v>4558</v>
      </c>
      <c r="S282" s="4" t="n">
        <f aca="false">R282*(P282/100)</f>
        <v>0</v>
      </c>
      <c r="T282" s="4" t="n">
        <f aca="false">R282-S282</f>
        <v>4558</v>
      </c>
    </row>
    <row r="283" customFormat="false" ht="15" hidden="false" customHeight="false" outlineLevel="0" collapsed="false">
      <c r="A283" s="2" t="n">
        <v>800282</v>
      </c>
      <c r="B283" s="2" t="s">
        <v>336</v>
      </c>
      <c r="C283" s="2" t="s">
        <v>41</v>
      </c>
      <c r="D283" s="2" t="s">
        <v>73</v>
      </c>
      <c r="E283" s="2" t="s">
        <v>136</v>
      </c>
      <c r="F283" s="2" t="s">
        <v>87</v>
      </c>
      <c r="G283" s="2" t="s">
        <v>36</v>
      </c>
      <c r="H283" s="2" t="s">
        <v>26</v>
      </c>
      <c r="I283" s="2" t="s">
        <v>57</v>
      </c>
      <c r="J283" s="2" t="s">
        <v>104</v>
      </c>
      <c r="K283" s="2" t="s">
        <v>59</v>
      </c>
      <c r="L283" s="2" t="s">
        <v>107</v>
      </c>
      <c r="M283" s="2" t="n">
        <v>441</v>
      </c>
      <c r="N283" s="3" t="n">
        <v>25</v>
      </c>
      <c r="O283" s="4" t="n">
        <v>23.57</v>
      </c>
      <c r="P283" s="5" t="n">
        <v>12.5</v>
      </c>
      <c r="Q283" s="2" t="n">
        <v>0</v>
      </c>
      <c r="R283" s="4" t="n">
        <f aca="false">M283*O283</f>
        <v>10394.37</v>
      </c>
      <c r="S283" s="4" t="n">
        <f aca="false">R283*(P283/100)</f>
        <v>1299.29625</v>
      </c>
      <c r="T283" s="4" t="n">
        <f aca="false">R283-S283</f>
        <v>9095.07375</v>
      </c>
    </row>
    <row r="284" customFormat="false" ht="15" hidden="false" customHeight="false" outlineLevel="0" collapsed="false">
      <c r="A284" s="2" t="n">
        <v>800283</v>
      </c>
      <c r="B284" s="2" t="s">
        <v>206</v>
      </c>
      <c r="C284" s="2" t="s">
        <v>21</v>
      </c>
      <c r="D284" s="2" t="s">
        <v>116</v>
      </c>
      <c r="E284" s="2" t="s">
        <v>324</v>
      </c>
      <c r="F284" s="2" t="s">
        <v>87</v>
      </c>
      <c r="G284" s="2" t="s">
        <v>52</v>
      </c>
      <c r="H284" s="2" t="s">
        <v>26</v>
      </c>
      <c r="I284" s="2" t="s">
        <v>57</v>
      </c>
      <c r="J284" s="2" t="s">
        <v>104</v>
      </c>
      <c r="K284" s="2" t="s">
        <v>59</v>
      </c>
      <c r="L284" s="2" t="s">
        <v>107</v>
      </c>
      <c r="M284" s="2" t="n">
        <v>421</v>
      </c>
      <c r="N284" s="3" t="n">
        <v>25</v>
      </c>
      <c r="O284" s="4" t="n">
        <v>22.64</v>
      </c>
      <c r="P284" s="5" t="n">
        <v>12.5</v>
      </c>
      <c r="Q284" s="2" t="n">
        <v>0</v>
      </c>
      <c r="R284" s="4" t="n">
        <f aca="false">M284*O284</f>
        <v>9531.44</v>
      </c>
      <c r="S284" s="4" t="n">
        <f aca="false">R284*(P284/100)</f>
        <v>1191.43</v>
      </c>
      <c r="T284" s="4" t="n">
        <f aca="false">R284-S284</f>
        <v>8340.01</v>
      </c>
    </row>
    <row r="285" customFormat="false" ht="15" hidden="false" customHeight="false" outlineLevel="0" collapsed="false">
      <c r="A285" s="2" t="n">
        <v>800284</v>
      </c>
      <c r="B285" s="2" t="s">
        <v>337</v>
      </c>
      <c r="C285" s="2" t="s">
        <v>41</v>
      </c>
      <c r="D285" s="2" t="s">
        <v>73</v>
      </c>
      <c r="E285" s="2" t="s">
        <v>74</v>
      </c>
      <c r="F285" s="2" t="s">
        <v>51</v>
      </c>
      <c r="G285" s="2" t="s">
        <v>137</v>
      </c>
      <c r="H285" s="2" t="s">
        <v>26</v>
      </c>
      <c r="I285" s="2" t="s">
        <v>27</v>
      </c>
      <c r="J285" s="2" t="s">
        <v>98</v>
      </c>
      <c r="K285" s="2" t="s">
        <v>46</v>
      </c>
      <c r="L285" s="2" t="s">
        <v>132</v>
      </c>
      <c r="M285" s="2" t="n">
        <v>154</v>
      </c>
      <c r="N285" s="3" t="n">
        <v>99</v>
      </c>
      <c r="O285" s="4" t="n">
        <v>90.24</v>
      </c>
      <c r="P285" s="5" t="n">
        <v>5</v>
      </c>
      <c r="Q285" s="2" t="n">
        <v>0</v>
      </c>
      <c r="R285" s="4" t="n">
        <f aca="false">M285*O285</f>
        <v>13896.96</v>
      </c>
      <c r="S285" s="4" t="n">
        <f aca="false">R285*(P285/100)</f>
        <v>694.848</v>
      </c>
      <c r="T285" s="4" t="n">
        <f aca="false">R285-S285</f>
        <v>13202.112</v>
      </c>
    </row>
    <row r="286" customFormat="false" ht="15" hidden="false" customHeight="false" outlineLevel="0" collapsed="false">
      <c r="A286" s="2" t="n">
        <v>800285</v>
      </c>
      <c r="B286" s="2" t="s">
        <v>182</v>
      </c>
      <c r="C286" s="2" t="s">
        <v>21</v>
      </c>
      <c r="D286" s="2" t="s">
        <v>116</v>
      </c>
      <c r="E286" s="2" t="s">
        <v>117</v>
      </c>
      <c r="F286" s="2" t="s">
        <v>78</v>
      </c>
      <c r="G286" s="2" t="s">
        <v>62</v>
      </c>
      <c r="H286" s="2" t="s">
        <v>26</v>
      </c>
      <c r="I286" s="2" t="s">
        <v>44</v>
      </c>
      <c r="J286" s="2" t="s">
        <v>126</v>
      </c>
      <c r="K286" s="2" t="s">
        <v>71</v>
      </c>
      <c r="L286" s="2" t="s">
        <v>161</v>
      </c>
      <c r="M286" s="2" t="n">
        <v>407</v>
      </c>
      <c r="N286" s="3" t="n">
        <v>20</v>
      </c>
      <c r="O286" s="4" t="n">
        <v>18.65</v>
      </c>
      <c r="P286" s="5" t="n">
        <v>0</v>
      </c>
      <c r="Q286" s="2" t="n">
        <v>1</v>
      </c>
      <c r="R286" s="4" t="n">
        <f aca="false">M286*O286</f>
        <v>7590.55</v>
      </c>
      <c r="S286" s="4" t="n">
        <f aca="false">R286*(P286/100)</f>
        <v>0</v>
      </c>
      <c r="T286" s="4" t="n">
        <f aca="false">R286-S286</f>
        <v>7590.55</v>
      </c>
    </row>
    <row r="287" customFormat="false" ht="15" hidden="false" customHeight="false" outlineLevel="0" collapsed="false">
      <c r="A287" s="2" t="n">
        <v>800286</v>
      </c>
      <c r="B287" s="2" t="s">
        <v>335</v>
      </c>
      <c r="C287" s="2" t="s">
        <v>41</v>
      </c>
      <c r="D287" s="2" t="s">
        <v>49</v>
      </c>
      <c r="E287" s="2" t="s">
        <v>80</v>
      </c>
      <c r="F287" s="2" t="s">
        <v>35</v>
      </c>
      <c r="G287" s="2" t="s">
        <v>25</v>
      </c>
      <c r="H287" s="2" t="s">
        <v>26</v>
      </c>
      <c r="I287" s="2" t="s">
        <v>57</v>
      </c>
      <c r="J287" s="2" t="s">
        <v>58</v>
      </c>
      <c r="K287" s="2" t="s">
        <v>59</v>
      </c>
      <c r="L287" s="2" t="s">
        <v>47</v>
      </c>
      <c r="M287" s="2" t="n">
        <v>222</v>
      </c>
      <c r="N287" s="3" t="n">
        <v>20</v>
      </c>
      <c r="O287" s="4" t="n">
        <v>19.53</v>
      </c>
      <c r="P287" s="5" t="n">
        <v>0</v>
      </c>
      <c r="Q287" s="2" t="n">
        <v>3</v>
      </c>
      <c r="R287" s="4" t="n">
        <f aca="false">M287*O287</f>
        <v>4335.66</v>
      </c>
      <c r="S287" s="4" t="n">
        <f aca="false">R287*(P287/100)</f>
        <v>0</v>
      </c>
      <c r="T287" s="4" t="n">
        <f aca="false">R287-S287</f>
        <v>4335.66</v>
      </c>
    </row>
    <row r="288" customFormat="false" ht="15" hidden="false" customHeight="false" outlineLevel="0" collapsed="false">
      <c r="A288" s="2" t="n">
        <v>800287</v>
      </c>
      <c r="B288" s="2" t="s">
        <v>338</v>
      </c>
      <c r="C288" s="2" t="s">
        <v>32</v>
      </c>
      <c r="D288" s="2" t="s">
        <v>66</v>
      </c>
      <c r="E288" s="2" t="s">
        <v>67</v>
      </c>
      <c r="F288" s="2" t="s">
        <v>24</v>
      </c>
      <c r="G288" s="2" t="s">
        <v>106</v>
      </c>
      <c r="H288" s="2" t="s">
        <v>26</v>
      </c>
      <c r="I288" s="2" t="s">
        <v>27</v>
      </c>
      <c r="J288" s="2" t="s">
        <v>28</v>
      </c>
      <c r="K288" s="2" t="s">
        <v>63</v>
      </c>
      <c r="L288" s="2" t="s">
        <v>64</v>
      </c>
      <c r="M288" s="2" t="n">
        <v>41</v>
      </c>
      <c r="N288" s="3" t="n">
        <v>50</v>
      </c>
      <c r="O288" s="4" t="n">
        <v>45.46</v>
      </c>
      <c r="P288" s="5" t="n">
        <v>10</v>
      </c>
      <c r="Q288" s="2" t="n">
        <v>0</v>
      </c>
      <c r="R288" s="4" t="n">
        <f aca="false">M288*O288</f>
        <v>1863.86</v>
      </c>
      <c r="S288" s="4" t="n">
        <f aca="false">R288*(P288/100)</f>
        <v>186.386</v>
      </c>
      <c r="T288" s="4" t="n">
        <f aca="false">R288-S288</f>
        <v>1677.474</v>
      </c>
    </row>
    <row r="289" customFormat="false" ht="15" hidden="false" customHeight="false" outlineLevel="0" collapsed="false">
      <c r="A289" s="2" t="n">
        <v>800288</v>
      </c>
      <c r="B289" s="2" t="s">
        <v>339</v>
      </c>
      <c r="C289" s="2" t="s">
        <v>32</v>
      </c>
      <c r="D289" s="2" t="s">
        <v>76</v>
      </c>
      <c r="E289" s="2" t="s">
        <v>77</v>
      </c>
      <c r="F289" s="2" t="s">
        <v>87</v>
      </c>
      <c r="G289" s="2" t="s">
        <v>125</v>
      </c>
      <c r="H289" s="2" t="s">
        <v>26</v>
      </c>
      <c r="I289" s="2" t="s">
        <v>69</v>
      </c>
      <c r="J289" s="2" t="s">
        <v>134</v>
      </c>
      <c r="K289" s="2" t="s">
        <v>71</v>
      </c>
      <c r="L289" s="2" t="s">
        <v>161</v>
      </c>
      <c r="M289" s="2" t="n">
        <v>304</v>
      </c>
      <c r="N289" s="3" t="n">
        <v>40</v>
      </c>
      <c r="O289" s="4" t="n">
        <v>36.23</v>
      </c>
      <c r="P289" s="5" t="n">
        <v>7.5</v>
      </c>
      <c r="Q289" s="2" t="n">
        <v>0</v>
      </c>
      <c r="R289" s="4" t="n">
        <f aca="false">M289*O289</f>
        <v>11013.92</v>
      </c>
      <c r="S289" s="4" t="n">
        <f aca="false">R289*(P289/100)</f>
        <v>826.044</v>
      </c>
      <c r="T289" s="4" t="n">
        <f aca="false">R289-S289</f>
        <v>10187.876</v>
      </c>
    </row>
    <row r="290" customFormat="false" ht="15" hidden="false" customHeight="false" outlineLevel="0" collapsed="false">
      <c r="A290" s="2" t="n">
        <v>800289</v>
      </c>
      <c r="B290" s="2" t="s">
        <v>289</v>
      </c>
      <c r="C290" s="2" t="s">
        <v>41</v>
      </c>
      <c r="D290" s="2" t="s">
        <v>73</v>
      </c>
      <c r="E290" s="2" t="s">
        <v>167</v>
      </c>
      <c r="F290" s="2" t="s">
        <v>35</v>
      </c>
      <c r="G290" s="2" t="s">
        <v>143</v>
      </c>
      <c r="H290" s="2" t="s">
        <v>26</v>
      </c>
      <c r="I290" s="2" t="s">
        <v>37</v>
      </c>
      <c r="J290" s="2" t="s">
        <v>38</v>
      </c>
      <c r="K290" s="2" t="s">
        <v>39</v>
      </c>
      <c r="L290" s="2" t="s">
        <v>47</v>
      </c>
      <c r="M290" s="2" t="n">
        <v>232</v>
      </c>
      <c r="N290" s="3" t="n">
        <v>30</v>
      </c>
      <c r="O290" s="4" t="n">
        <v>26.13</v>
      </c>
      <c r="P290" s="5" t="n">
        <v>0</v>
      </c>
      <c r="Q290" s="2" t="n">
        <v>0</v>
      </c>
      <c r="R290" s="4" t="n">
        <f aca="false">M290*O290</f>
        <v>6062.16</v>
      </c>
      <c r="S290" s="4" t="n">
        <f aca="false">R290*(P290/100)</f>
        <v>0</v>
      </c>
      <c r="T290" s="4" t="n">
        <f aca="false">R290-S290</f>
        <v>6062.16</v>
      </c>
    </row>
    <row r="291" customFormat="false" ht="15" hidden="false" customHeight="false" outlineLevel="0" collapsed="false">
      <c r="A291" s="2" t="n">
        <v>800290</v>
      </c>
      <c r="B291" s="2" t="s">
        <v>194</v>
      </c>
      <c r="C291" s="2" t="s">
        <v>21</v>
      </c>
      <c r="D291" s="2" t="s">
        <v>147</v>
      </c>
      <c r="E291" s="2" t="s">
        <v>148</v>
      </c>
      <c r="F291" s="2" t="s">
        <v>87</v>
      </c>
      <c r="G291" s="2" t="s">
        <v>103</v>
      </c>
      <c r="H291" s="2" t="s">
        <v>26</v>
      </c>
      <c r="I291" s="2" t="s">
        <v>44</v>
      </c>
      <c r="J291" s="2" t="s">
        <v>45</v>
      </c>
      <c r="K291" s="2" t="s">
        <v>111</v>
      </c>
      <c r="L291" s="2" t="s">
        <v>60</v>
      </c>
      <c r="M291" s="2" t="n">
        <v>312</v>
      </c>
      <c r="N291" s="3" t="n">
        <v>10</v>
      </c>
      <c r="O291" s="4" t="n">
        <v>9.35</v>
      </c>
      <c r="P291" s="5" t="n">
        <v>0</v>
      </c>
      <c r="Q291" s="2" t="n">
        <v>0</v>
      </c>
      <c r="R291" s="4" t="n">
        <f aca="false">M291*O291</f>
        <v>2917.2</v>
      </c>
      <c r="S291" s="4" t="n">
        <f aca="false">R291*(P291/100)</f>
        <v>0</v>
      </c>
      <c r="T291" s="4" t="n">
        <f aca="false">R291-S291</f>
        <v>2917.2</v>
      </c>
    </row>
    <row r="292" customFormat="false" ht="15" hidden="false" customHeight="false" outlineLevel="0" collapsed="false">
      <c r="A292" s="2" t="n">
        <v>800291</v>
      </c>
      <c r="B292" s="2" t="s">
        <v>340</v>
      </c>
      <c r="C292" s="2" t="s">
        <v>41</v>
      </c>
      <c r="D292" s="2" t="s">
        <v>73</v>
      </c>
      <c r="E292" s="2" t="s">
        <v>167</v>
      </c>
      <c r="F292" s="2" t="s">
        <v>35</v>
      </c>
      <c r="G292" s="2" t="s">
        <v>62</v>
      </c>
      <c r="H292" s="2" t="s">
        <v>26</v>
      </c>
      <c r="I292" s="2" t="s">
        <v>57</v>
      </c>
      <c r="J292" s="2" t="s">
        <v>104</v>
      </c>
      <c r="K292" s="2" t="s">
        <v>59</v>
      </c>
      <c r="L292" s="2" t="s">
        <v>161</v>
      </c>
      <c r="M292" s="2" t="n">
        <v>475</v>
      </c>
      <c r="N292" s="3" t="n">
        <v>25</v>
      </c>
      <c r="O292" s="4" t="n">
        <v>24.33</v>
      </c>
      <c r="P292" s="5" t="n">
        <v>2</v>
      </c>
      <c r="Q292" s="2" t="n">
        <v>0</v>
      </c>
      <c r="R292" s="4" t="n">
        <f aca="false">M292*O292</f>
        <v>11556.75</v>
      </c>
      <c r="S292" s="4" t="n">
        <f aca="false">R292*(P292/100)</f>
        <v>231.135</v>
      </c>
      <c r="T292" s="4" t="n">
        <f aca="false">R292-S292</f>
        <v>11325.615</v>
      </c>
    </row>
    <row r="293" customFormat="false" ht="15" hidden="false" customHeight="false" outlineLevel="0" collapsed="false">
      <c r="A293" s="2" t="n">
        <v>800292</v>
      </c>
      <c r="B293" s="2" t="s">
        <v>123</v>
      </c>
      <c r="C293" s="2" t="s">
        <v>84</v>
      </c>
      <c r="D293" s="2" t="s">
        <v>119</v>
      </c>
      <c r="E293" s="2" t="s">
        <v>120</v>
      </c>
      <c r="F293" s="2" t="s">
        <v>87</v>
      </c>
      <c r="G293" s="2" t="s">
        <v>68</v>
      </c>
      <c r="H293" s="2" t="s">
        <v>26</v>
      </c>
      <c r="I293" s="2" t="s">
        <v>44</v>
      </c>
      <c r="J293" s="2" t="s">
        <v>45</v>
      </c>
      <c r="K293" s="2" t="s">
        <v>111</v>
      </c>
      <c r="L293" s="2" t="s">
        <v>60</v>
      </c>
      <c r="M293" s="2" t="n">
        <v>459</v>
      </c>
      <c r="N293" s="3" t="n">
        <v>10</v>
      </c>
      <c r="O293" s="4" t="n">
        <v>9.47</v>
      </c>
      <c r="P293" s="5" t="n">
        <v>0</v>
      </c>
      <c r="Q293" s="2" t="n">
        <v>0</v>
      </c>
      <c r="R293" s="4" t="n">
        <f aca="false">M293*O293</f>
        <v>4346.73</v>
      </c>
      <c r="S293" s="4" t="n">
        <f aca="false">R293*(P293/100)</f>
        <v>0</v>
      </c>
      <c r="T293" s="4" t="n">
        <f aca="false">R293-S293</f>
        <v>4346.73</v>
      </c>
    </row>
    <row r="294" customFormat="false" ht="15" hidden="false" customHeight="false" outlineLevel="0" collapsed="false">
      <c r="A294" s="2" t="n">
        <v>800293</v>
      </c>
      <c r="B294" s="2" t="s">
        <v>301</v>
      </c>
      <c r="C294" s="2" t="s">
        <v>84</v>
      </c>
      <c r="D294" s="2" t="s">
        <v>164</v>
      </c>
      <c r="E294" s="2" t="s">
        <v>165</v>
      </c>
      <c r="F294" s="2" t="s">
        <v>87</v>
      </c>
      <c r="G294" s="2" t="s">
        <v>125</v>
      </c>
      <c r="H294" s="2" t="s">
        <v>26</v>
      </c>
      <c r="I294" s="2" t="s">
        <v>57</v>
      </c>
      <c r="J294" s="2" t="s">
        <v>104</v>
      </c>
      <c r="K294" s="2" t="s">
        <v>59</v>
      </c>
      <c r="L294" s="2" t="s">
        <v>99</v>
      </c>
      <c r="M294" s="2" t="n">
        <v>246</v>
      </c>
      <c r="N294" s="3" t="n">
        <v>25</v>
      </c>
      <c r="O294" s="4" t="n">
        <v>21.99</v>
      </c>
      <c r="P294" s="5" t="n">
        <v>10</v>
      </c>
      <c r="Q294" s="2" t="n">
        <v>2</v>
      </c>
      <c r="R294" s="4" t="n">
        <f aca="false">M294*O294</f>
        <v>5409.54</v>
      </c>
      <c r="S294" s="4" t="n">
        <f aca="false">R294*(P294/100)</f>
        <v>540.954</v>
      </c>
      <c r="T294" s="4" t="n">
        <f aca="false">R294-S294</f>
        <v>4868.586</v>
      </c>
    </row>
    <row r="295" customFormat="false" ht="15" hidden="false" customHeight="false" outlineLevel="0" collapsed="false">
      <c r="A295" s="2" t="n">
        <v>800294</v>
      </c>
      <c r="B295" s="2" t="s">
        <v>341</v>
      </c>
      <c r="C295" s="2" t="s">
        <v>84</v>
      </c>
      <c r="D295" s="2" t="s">
        <v>128</v>
      </c>
      <c r="E295" s="2" t="s">
        <v>129</v>
      </c>
      <c r="F295" s="2" t="s">
        <v>78</v>
      </c>
      <c r="G295" s="2" t="s">
        <v>68</v>
      </c>
      <c r="H295" s="2" t="s">
        <v>26</v>
      </c>
      <c r="I295" s="2" t="s">
        <v>37</v>
      </c>
      <c r="J295" s="2" t="s">
        <v>38</v>
      </c>
      <c r="K295" s="2" t="s">
        <v>39</v>
      </c>
      <c r="L295" s="2" t="s">
        <v>64</v>
      </c>
      <c r="M295" s="2" t="n">
        <v>419</v>
      </c>
      <c r="N295" s="3" t="n">
        <v>30</v>
      </c>
      <c r="O295" s="4" t="n">
        <v>29.08</v>
      </c>
      <c r="P295" s="5" t="n">
        <v>0</v>
      </c>
      <c r="Q295" s="2" t="n">
        <v>0</v>
      </c>
      <c r="R295" s="4" t="n">
        <f aca="false">M295*O295</f>
        <v>12184.52</v>
      </c>
      <c r="S295" s="4" t="n">
        <f aca="false">R295*(P295/100)</f>
        <v>0</v>
      </c>
      <c r="T295" s="4" t="n">
        <f aca="false">R295-S295</f>
        <v>12184.52</v>
      </c>
    </row>
    <row r="296" customFormat="false" ht="15" hidden="false" customHeight="false" outlineLevel="0" collapsed="false">
      <c r="A296" s="2" t="n">
        <v>800295</v>
      </c>
      <c r="B296" s="2" t="s">
        <v>212</v>
      </c>
      <c r="C296" s="2" t="s">
        <v>32</v>
      </c>
      <c r="D296" s="2" t="s">
        <v>66</v>
      </c>
      <c r="E296" s="2" t="s">
        <v>113</v>
      </c>
      <c r="F296" s="2" t="s">
        <v>78</v>
      </c>
      <c r="G296" s="2" t="s">
        <v>94</v>
      </c>
      <c r="H296" s="2" t="s">
        <v>26</v>
      </c>
      <c r="I296" s="2" t="s">
        <v>69</v>
      </c>
      <c r="J296" s="2" t="s">
        <v>81</v>
      </c>
      <c r="K296" s="2" t="s">
        <v>71</v>
      </c>
      <c r="L296" s="2" t="s">
        <v>99</v>
      </c>
      <c r="M296" s="2" t="n">
        <v>160</v>
      </c>
      <c r="N296" s="3" t="n">
        <v>40</v>
      </c>
      <c r="O296" s="4" t="n">
        <v>36.06</v>
      </c>
      <c r="P296" s="5" t="n">
        <v>12.5</v>
      </c>
      <c r="Q296" s="2" t="n">
        <v>3</v>
      </c>
      <c r="R296" s="4" t="n">
        <f aca="false">M296*O296</f>
        <v>5769.6</v>
      </c>
      <c r="S296" s="4" t="n">
        <f aca="false">R296*(P296/100)</f>
        <v>721.2</v>
      </c>
      <c r="T296" s="4" t="n">
        <f aca="false">R296-S296</f>
        <v>5048.4</v>
      </c>
    </row>
    <row r="297" customFormat="false" ht="15" hidden="false" customHeight="false" outlineLevel="0" collapsed="false">
      <c r="A297" s="2" t="n">
        <v>800296</v>
      </c>
      <c r="B297" s="2" t="s">
        <v>333</v>
      </c>
      <c r="C297" s="2" t="s">
        <v>21</v>
      </c>
      <c r="D297" s="2" t="s">
        <v>22</v>
      </c>
      <c r="E297" s="2" t="s">
        <v>109</v>
      </c>
      <c r="F297" s="2" t="s">
        <v>87</v>
      </c>
      <c r="G297" s="2" t="s">
        <v>94</v>
      </c>
      <c r="H297" s="2" t="s">
        <v>26</v>
      </c>
      <c r="I297" s="2" t="s">
        <v>37</v>
      </c>
      <c r="J297" s="2" t="s">
        <v>38</v>
      </c>
      <c r="K297" s="2" t="s">
        <v>39</v>
      </c>
      <c r="L297" s="2" t="s">
        <v>64</v>
      </c>
      <c r="M297" s="2" t="n">
        <v>465</v>
      </c>
      <c r="N297" s="3" t="n">
        <v>30</v>
      </c>
      <c r="O297" s="4" t="n">
        <v>27.49</v>
      </c>
      <c r="P297" s="5" t="n">
        <v>7.5</v>
      </c>
      <c r="Q297" s="2" t="n">
        <v>1</v>
      </c>
      <c r="R297" s="4" t="n">
        <f aca="false">M297*O297</f>
        <v>12782.85</v>
      </c>
      <c r="S297" s="4" t="n">
        <f aca="false">R297*(P297/100)</f>
        <v>958.71375</v>
      </c>
      <c r="T297" s="4" t="n">
        <f aca="false">R297-S297</f>
        <v>11824.13625</v>
      </c>
    </row>
    <row r="298" customFormat="false" ht="15" hidden="false" customHeight="false" outlineLevel="0" collapsed="false">
      <c r="A298" s="2" t="n">
        <v>800297</v>
      </c>
      <c r="B298" s="2" t="s">
        <v>342</v>
      </c>
      <c r="C298" s="2" t="s">
        <v>84</v>
      </c>
      <c r="D298" s="2" t="s">
        <v>128</v>
      </c>
      <c r="E298" s="2" t="s">
        <v>199</v>
      </c>
      <c r="F298" s="2" t="s">
        <v>78</v>
      </c>
      <c r="G298" s="2" t="s">
        <v>103</v>
      </c>
      <c r="H298" s="2" t="s">
        <v>26</v>
      </c>
      <c r="I298" s="2" t="s">
        <v>69</v>
      </c>
      <c r="J298" s="2" t="s">
        <v>70</v>
      </c>
      <c r="K298" s="2" t="s">
        <v>39</v>
      </c>
      <c r="L298" s="2" t="s">
        <v>53</v>
      </c>
      <c r="M298" s="2" t="n">
        <v>419</v>
      </c>
      <c r="N298" s="3" t="n">
        <v>20</v>
      </c>
      <c r="O298" s="4" t="n">
        <v>19.7</v>
      </c>
      <c r="P298" s="5" t="n">
        <v>2</v>
      </c>
      <c r="Q298" s="2" t="n">
        <v>0</v>
      </c>
      <c r="R298" s="4" t="n">
        <f aca="false">M298*O298</f>
        <v>8254.3</v>
      </c>
      <c r="S298" s="4" t="n">
        <f aca="false">R298*(P298/100)</f>
        <v>165.086</v>
      </c>
      <c r="T298" s="4" t="n">
        <f aca="false">R298-S298</f>
        <v>8089.214</v>
      </c>
    </row>
    <row r="299" customFormat="false" ht="15" hidden="false" customHeight="false" outlineLevel="0" collapsed="false">
      <c r="A299" s="2" t="n">
        <v>800298</v>
      </c>
      <c r="B299" s="2" t="s">
        <v>343</v>
      </c>
      <c r="C299" s="2" t="s">
        <v>32</v>
      </c>
      <c r="D299" s="2" t="s">
        <v>55</v>
      </c>
      <c r="E299" s="2" t="s">
        <v>93</v>
      </c>
      <c r="F299" s="2" t="s">
        <v>35</v>
      </c>
      <c r="G299" s="2" t="s">
        <v>36</v>
      </c>
      <c r="H299" s="2" t="s">
        <v>26</v>
      </c>
      <c r="I299" s="2" t="s">
        <v>69</v>
      </c>
      <c r="J299" s="2" t="s">
        <v>114</v>
      </c>
      <c r="K299" s="2" t="s">
        <v>29</v>
      </c>
      <c r="L299" s="2" t="s">
        <v>64</v>
      </c>
      <c r="M299" s="2" t="n">
        <v>351</v>
      </c>
      <c r="N299" s="3" t="n">
        <v>20</v>
      </c>
      <c r="O299" s="4" t="n">
        <v>17.48</v>
      </c>
      <c r="P299" s="5" t="n">
        <v>0</v>
      </c>
      <c r="Q299" s="2" t="n">
        <v>0</v>
      </c>
      <c r="R299" s="4" t="n">
        <f aca="false">M299*O299</f>
        <v>6135.48</v>
      </c>
      <c r="S299" s="4" t="n">
        <f aca="false">R299*(P299/100)</f>
        <v>0</v>
      </c>
      <c r="T299" s="4" t="n">
        <f aca="false">R299-S299</f>
        <v>6135.48</v>
      </c>
    </row>
    <row r="300" customFormat="false" ht="15" hidden="false" customHeight="false" outlineLevel="0" collapsed="false">
      <c r="A300" s="2" t="n">
        <v>800299</v>
      </c>
      <c r="B300" s="2" t="s">
        <v>221</v>
      </c>
      <c r="C300" s="2" t="s">
        <v>84</v>
      </c>
      <c r="D300" s="2" t="s">
        <v>119</v>
      </c>
      <c r="E300" s="2" t="s">
        <v>201</v>
      </c>
      <c r="F300" s="2" t="s">
        <v>51</v>
      </c>
      <c r="G300" s="2" t="s">
        <v>137</v>
      </c>
      <c r="H300" s="2" t="s">
        <v>26</v>
      </c>
      <c r="I300" s="2" t="s">
        <v>57</v>
      </c>
      <c r="J300" s="2" t="s">
        <v>58</v>
      </c>
      <c r="K300" s="2" t="s">
        <v>59</v>
      </c>
      <c r="L300" s="2" t="s">
        <v>99</v>
      </c>
      <c r="M300" s="2" t="n">
        <v>258</v>
      </c>
      <c r="N300" s="3" t="n">
        <v>20</v>
      </c>
      <c r="O300" s="4" t="n">
        <v>17.85</v>
      </c>
      <c r="P300" s="5" t="n">
        <v>10</v>
      </c>
      <c r="Q300" s="2" t="n">
        <v>0</v>
      </c>
      <c r="R300" s="4" t="n">
        <f aca="false">M300*O300</f>
        <v>4605.3</v>
      </c>
      <c r="S300" s="4" t="n">
        <f aca="false">R300*(P300/100)</f>
        <v>460.53</v>
      </c>
      <c r="T300" s="4" t="n">
        <f aca="false">R300-S300</f>
        <v>4144.77</v>
      </c>
    </row>
    <row r="301" customFormat="false" ht="15" hidden="false" customHeight="false" outlineLevel="0" collapsed="false">
      <c r="A301" s="2" t="n">
        <v>800300</v>
      </c>
      <c r="B301" s="2" t="s">
        <v>344</v>
      </c>
      <c r="C301" s="2" t="s">
        <v>84</v>
      </c>
      <c r="D301" s="2" t="s">
        <v>119</v>
      </c>
      <c r="E301" s="2" t="s">
        <v>201</v>
      </c>
      <c r="F301" s="2" t="s">
        <v>78</v>
      </c>
      <c r="G301" s="2" t="s">
        <v>94</v>
      </c>
      <c r="H301" s="2" t="s">
        <v>26</v>
      </c>
      <c r="I301" s="2" t="s">
        <v>69</v>
      </c>
      <c r="J301" s="2" t="s">
        <v>81</v>
      </c>
      <c r="K301" s="2" t="s">
        <v>71</v>
      </c>
      <c r="L301" s="2" t="s">
        <v>107</v>
      </c>
      <c r="M301" s="2" t="n">
        <v>347</v>
      </c>
      <c r="N301" s="3" t="n">
        <v>40</v>
      </c>
      <c r="O301" s="4" t="n">
        <v>35.82</v>
      </c>
      <c r="P301" s="5" t="n">
        <v>5</v>
      </c>
      <c r="Q301" s="2" t="n">
        <v>0</v>
      </c>
      <c r="R301" s="4" t="n">
        <f aca="false">M301*O301</f>
        <v>12429.54</v>
      </c>
      <c r="S301" s="4" t="n">
        <f aca="false">R301*(P301/100)</f>
        <v>621.477</v>
      </c>
      <c r="T301" s="4" t="n">
        <f aca="false">R301-S301</f>
        <v>11808.063</v>
      </c>
    </row>
    <row r="302" customFormat="false" ht="15" hidden="false" customHeight="false" outlineLevel="0" collapsed="false">
      <c r="A302" s="2" t="n">
        <v>800301</v>
      </c>
      <c r="B302" s="2" t="s">
        <v>110</v>
      </c>
      <c r="C302" s="2" t="s">
        <v>84</v>
      </c>
      <c r="D302" s="2" t="s">
        <v>85</v>
      </c>
      <c r="E302" s="2" t="s">
        <v>86</v>
      </c>
      <c r="F302" s="2" t="s">
        <v>35</v>
      </c>
      <c r="G302" s="2" t="s">
        <v>25</v>
      </c>
      <c r="H302" s="2" t="s">
        <v>26</v>
      </c>
      <c r="I302" s="2" t="s">
        <v>69</v>
      </c>
      <c r="J302" s="2" t="s">
        <v>202</v>
      </c>
      <c r="K302" s="2" t="s">
        <v>39</v>
      </c>
      <c r="L302" s="2" t="s">
        <v>82</v>
      </c>
      <c r="M302" s="2" t="n">
        <v>368</v>
      </c>
      <c r="N302" s="3" t="n">
        <v>20</v>
      </c>
      <c r="O302" s="4" t="n">
        <v>17.39</v>
      </c>
      <c r="P302" s="5" t="n">
        <v>0</v>
      </c>
      <c r="Q302" s="2" t="n">
        <v>2</v>
      </c>
      <c r="R302" s="4" t="n">
        <f aca="false">M302*O302</f>
        <v>6399.52</v>
      </c>
      <c r="S302" s="4" t="n">
        <f aca="false">R302*(P302/100)</f>
        <v>0</v>
      </c>
      <c r="T302" s="4" t="n">
        <f aca="false">R302-S302</f>
        <v>6399.52</v>
      </c>
    </row>
    <row r="303" customFormat="false" ht="15" hidden="false" customHeight="false" outlineLevel="0" collapsed="false">
      <c r="A303" s="2" t="n">
        <v>800302</v>
      </c>
      <c r="B303" s="2" t="s">
        <v>261</v>
      </c>
      <c r="C303" s="2" t="s">
        <v>84</v>
      </c>
      <c r="D303" s="2" t="s">
        <v>164</v>
      </c>
      <c r="E303" s="2" t="s">
        <v>165</v>
      </c>
      <c r="F303" s="2" t="s">
        <v>51</v>
      </c>
      <c r="G303" s="2" t="s">
        <v>125</v>
      </c>
      <c r="H303" s="2" t="s">
        <v>26</v>
      </c>
      <c r="I303" s="2" t="s">
        <v>69</v>
      </c>
      <c r="J303" s="2" t="s">
        <v>70</v>
      </c>
      <c r="K303" s="2" t="s">
        <v>71</v>
      </c>
      <c r="L303" s="2" t="s">
        <v>82</v>
      </c>
      <c r="M303" s="2" t="n">
        <v>391</v>
      </c>
      <c r="N303" s="3" t="n">
        <v>40</v>
      </c>
      <c r="O303" s="4" t="n">
        <v>37.99</v>
      </c>
      <c r="P303" s="5" t="n">
        <v>12.5</v>
      </c>
      <c r="Q303" s="2" t="n">
        <v>1</v>
      </c>
      <c r="R303" s="4" t="n">
        <f aca="false">M303*O303</f>
        <v>14854.09</v>
      </c>
      <c r="S303" s="4" t="n">
        <f aca="false">R303*(P303/100)</f>
        <v>1856.76125</v>
      </c>
      <c r="T303" s="4" t="n">
        <f aca="false">R303-S303</f>
        <v>12997.32875</v>
      </c>
    </row>
    <row r="304" customFormat="false" ht="15" hidden="false" customHeight="false" outlineLevel="0" collapsed="false">
      <c r="A304" s="2" t="n">
        <v>800303</v>
      </c>
      <c r="B304" s="2" t="s">
        <v>344</v>
      </c>
      <c r="C304" s="2" t="s">
        <v>84</v>
      </c>
      <c r="D304" s="2" t="s">
        <v>85</v>
      </c>
      <c r="E304" s="2" t="s">
        <v>86</v>
      </c>
      <c r="F304" s="2" t="s">
        <v>87</v>
      </c>
      <c r="G304" s="2" t="s">
        <v>52</v>
      </c>
      <c r="H304" s="2" t="s">
        <v>26</v>
      </c>
      <c r="I304" s="2" t="s">
        <v>57</v>
      </c>
      <c r="J304" s="2" t="s">
        <v>104</v>
      </c>
      <c r="K304" s="2" t="s">
        <v>59</v>
      </c>
      <c r="L304" s="2" t="s">
        <v>107</v>
      </c>
      <c r="M304" s="2" t="n">
        <v>391</v>
      </c>
      <c r="N304" s="3" t="n">
        <v>25</v>
      </c>
      <c r="O304" s="4" t="n">
        <v>24.08</v>
      </c>
      <c r="P304" s="5" t="n">
        <v>0</v>
      </c>
      <c r="Q304" s="2" t="n">
        <v>1</v>
      </c>
      <c r="R304" s="4" t="n">
        <f aca="false">M304*O304</f>
        <v>9415.28</v>
      </c>
      <c r="S304" s="4" t="n">
        <f aca="false">R304*(P304/100)</f>
        <v>0</v>
      </c>
      <c r="T304" s="4" t="n">
        <f aca="false">R304-S304</f>
        <v>9415.28</v>
      </c>
    </row>
    <row r="305" customFormat="false" ht="15" hidden="false" customHeight="false" outlineLevel="0" collapsed="false">
      <c r="A305" s="2" t="n">
        <v>800304</v>
      </c>
      <c r="B305" s="2" t="s">
        <v>345</v>
      </c>
      <c r="C305" s="2" t="s">
        <v>21</v>
      </c>
      <c r="D305" s="2" t="s">
        <v>116</v>
      </c>
      <c r="E305" s="2" t="s">
        <v>170</v>
      </c>
      <c r="F305" s="2" t="s">
        <v>24</v>
      </c>
      <c r="G305" s="2" t="s">
        <v>125</v>
      </c>
      <c r="H305" s="2" t="s">
        <v>26</v>
      </c>
      <c r="I305" s="2" t="s">
        <v>44</v>
      </c>
      <c r="J305" s="2" t="s">
        <v>45</v>
      </c>
      <c r="K305" s="2" t="s">
        <v>111</v>
      </c>
      <c r="L305" s="2" t="s">
        <v>82</v>
      </c>
      <c r="M305" s="2" t="n">
        <v>210</v>
      </c>
      <c r="N305" s="3" t="n">
        <v>10</v>
      </c>
      <c r="O305" s="4" t="n">
        <v>8.86</v>
      </c>
      <c r="P305" s="5" t="n">
        <v>5</v>
      </c>
      <c r="Q305" s="2" t="n">
        <v>2</v>
      </c>
      <c r="R305" s="4" t="n">
        <f aca="false">M305*O305</f>
        <v>1860.6</v>
      </c>
      <c r="S305" s="4" t="n">
        <f aca="false">R305*(P305/100)</f>
        <v>93.03</v>
      </c>
      <c r="T305" s="4" t="n">
        <f aca="false">R305-S305</f>
        <v>1767.57</v>
      </c>
    </row>
    <row r="306" customFormat="false" ht="15" hidden="false" customHeight="false" outlineLevel="0" collapsed="false">
      <c r="A306" s="2" t="n">
        <v>800305</v>
      </c>
      <c r="B306" s="2" t="s">
        <v>282</v>
      </c>
      <c r="C306" s="2" t="s">
        <v>41</v>
      </c>
      <c r="D306" s="2" t="s">
        <v>73</v>
      </c>
      <c r="E306" s="2" t="s">
        <v>167</v>
      </c>
      <c r="F306" s="2" t="s">
        <v>35</v>
      </c>
      <c r="G306" s="2" t="s">
        <v>143</v>
      </c>
      <c r="H306" s="2" t="s">
        <v>26</v>
      </c>
      <c r="I306" s="2" t="s">
        <v>37</v>
      </c>
      <c r="J306" s="2" t="s">
        <v>38</v>
      </c>
      <c r="K306" s="2" t="s">
        <v>39</v>
      </c>
      <c r="L306" s="2" t="s">
        <v>60</v>
      </c>
      <c r="M306" s="2" t="n">
        <v>475</v>
      </c>
      <c r="N306" s="3" t="n">
        <v>30</v>
      </c>
      <c r="O306" s="4" t="n">
        <v>26.32</v>
      </c>
      <c r="P306" s="5" t="n">
        <v>0</v>
      </c>
      <c r="Q306" s="2" t="n">
        <v>1</v>
      </c>
      <c r="R306" s="4" t="n">
        <f aca="false">M306*O306</f>
        <v>12502</v>
      </c>
      <c r="S306" s="4" t="n">
        <f aca="false">R306*(P306/100)</f>
        <v>0</v>
      </c>
      <c r="T306" s="4" t="n">
        <f aca="false">R306-S306</f>
        <v>12502</v>
      </c>
    </row>
    <row r="307" customFormat="false" ht="15" hidden="false" customHeight="false" outlineLevel="0" collapsed="false">
      <c r="A307" s="2" t="n">
        <v>800306</v>
      </c>
      <c r="B307" s="2" t="s">
        <v>305</v>
      </c>
      <c r="C307" s="2" t="s">
        <v>84</v>
      </c>
      <c r="D307" s="2" t="s">
        <v>164</v>
      </c>
      <c r="E307" s="2" t="s">
        <v>211</v>
      </c>
      <c r="F307" s="2" t="s">
        <v>24</v>
      </c>
      <c r="G307" s="2" t="s">
        <v>106</v>
      </c>
      <c r="H307" s="2" t="s">
        <v>26</v>
      </c>
      <c r="I307" s="2" t="s">
        <v>27</v>
      </c>
      <c r="J307" s="2" t="s">
        <v>91</v>
      </c>
      <c r="K307" s="2" t="s">
        <v>29</v>
      </c>
      <c r="L307" s="2" t="s">
        <v>161</v>
      </c>
      <c r="M307" s="2" t="n">
        <v>311</v>
      </c>
      <c r="N307" s="3" t="n">
        <v>35</v>
      </c>
      <c r="O307" s="4" t="n">
        <v>34.12</v>
      </c>
      <c r="P307" s="5" t="n">
        <v>12.5</v>
      </c>
      <c r="Q307" s="2" t="n">
        <v>0</v>
      </c>
      <c r="R307" s="4" t="n">
        <f aca="false">M307*O307</f>
        <v>10611.32</v>
      </c>
      <c r="S307" s="4" t="n">
        <f aca="false">R307*(P307/100)</f>
        <v>1326.415</v>
      </c>
      <c r="T307" s="4" t="n">
        <f aca="false">R307-S307</f>
        <v>9284.905</v>
      </c>
    </row>
    <row r="308" customFormat="false" ht="15" hidden="false" customHeight="false" outlineLevel="0" collapsed="false">
      <c r="A308" s="2" t="n">
        <v>800307</v>
      </c>
      <c r="B308" s="2" t="s">
        <v>346</v>
      </c>
      <c r="C308" s="2" t="s">
        <v>32</v>
      </c>
      <c r="D308" s="2" t="s">
        <v>66</v>
      </c>
      <c r="E308" s="2" t="s">
        <v>67</v>
      </c>
      <c r="F308" s="2" t="s">
        <v>87</v>
      </c>
      <c r="G308" s="2" t="s">
        <v>62</v>
      </c>
      <c r="H308" s="2" t="s">
        <v>26</v>
      </c>
      <c r="I308" s="2" t="s">
        <v>27</v>
      </c>
      <c r="J308" s="2" t="s">
        <v>91</v>
      </c>
      <c r="K308" s="2" t="s">
        <v>29</v>
      </c>
      <c r="L308" s="2" t="s">
        <v>132</v>
      </c>
      <c r="M308" s="2" t="n">
        <v>22</v>
      </c>
      <c r="N308" s="3" t="n">
        <v>35</v>
      </c>
      <c r="O308" s="4" t="n">
        <v>31.97</v>
      </c>
      <c r="P308" s="5" t="n">
        <v>2</v>
      </c>
      <c r="Q308" s="2" t="n">
        <v>0</v>
      </c>
      <c r="R308" s="4" t="n">
        <f aca="false">M308*O308</f>
        <v>703.34</v>
      </c>
      <c r="S308" s="4" t="n">
        <f aca="false">R308*(P308/100)</f>
        <v>14.0668</v>
      </c>
      <c r="T308" s="4" t="n">
        <f aca="false">R308-S308</f>
        <v>689.2732</v>
      </c>
    </row>
    <row r="309" customFormat="false" ht="15" hidden="false" customHeight="false" outlineLevel="0" collapsed="false">
      <c r="A309" s="2" t="n">
        <v>800308</v>
      </c>
      <c r="B309" s="2" t="s">
        <v>347</v>
      </c>
      <c r="C309" s="2" t="s">
        <v>32</v>
      </c>
      <c r="D309" s="2" t="s">
        <v>151</v>
      </c>
      <c r="E309" s="2" t="s">
        <v>158</v>
      </c>
      <c r="F309" s="2" t="s">
        <v>24</v>
      </c>
      <c r="G309" s="2" t="s">
        <v>143</v>
      </c>
      <c r="H309" s="2" t="s">
        <v>26</v>
      </c>
      <c r="I309" s="2" t="s">
        <v>57</v>
      </c>
      <c r="J309" s="2" t="s">
        <v>58</v>
      </c>
      <c r="K309" s="2" t="s">
        <v>59</v>
      </c>
      <c r="L309" s="2" t="s">
        <v>161</v>
      </c>
      <c r="M309" s="2" t="n">
        <v>239</v>
      </c>
      <c r="N309" s="3" t="n">
        <v>20</v>
      </c>
      <c r="O309" s="4" t="n">
        <v>19.7</v>
      </c>
      <c r="P309" s="5" t="n">
        <v>10</v>
      </c>
      <c r="Q309" s="2" t="n">
        <v>0</v>
      </c>
      <c r="R309" s="4" t="n">
        <f aca="false">M309*O309</f>
        <v>4708.3</v>
      </c>
      <c r="S309" s="4" t="n">
        <f aca="false">R309*(P309/100)</f>
        <v>470.83</v>
      </c>
      <c r="T309" s="4" t="n">
        <f aca="false">R309-S309</f>
        <v>4237.47</v>
      </c>
    </row>
    <row r="310" customFormat="false" ht="15" hidden="false" customHeight="false" outlineLevel="0" collapsed="false">
      <c r="A310" s="2" t="n">
        <v>800309</v>
      </c>
      <c r="B310" s="2" t="s">
        <v>193</v>
      </c>
      <c r="C310" s="2" t="s">
        <v>32</v>
      </c>
      <c r="D310" s="2" t="s">
        <v>55</v>
      </c>
      <c r="E310" s="2" t="s">
        <v>56</v>
      </c>
      <c r="F310" s="2" t="s">
        <v>87</v>
      </c>
      <c r="G310" s="2" t="s">
        <v>90</v>
      </c>
      <c r="H310" s="2" t="s">
        <v>26</v>
      </c>
      <c r="I310" s="2" t="s">
        <v>27</v>
      </c>
      <c r="J310" s="2" t="s">
        <v>28</v>
      </c>
      <c r="K310" s="2" t="s">
        <v>29</v>
      </c>
      <c r="L310" s="2" t="s">
        <v>132</v>
      </c>
      <c r="M310" s="2" t="n">
        <v>340</v>
      </c>
      <c r="N310" s="3" t="n">
        <v>30</v>
      </c>
      <c r="O310" s="4" t="n">
        <v>28.58</v>
      </c>
      <c r="P310" s="5" t="n">
        <v>2</v>
      </c>
      <c r="Q310" s="2" t="n">
        <v>1</v>
      </c>
      <c r="R310" s="4" t="n">
        <f aca="false">M310*O310</f>
        <v>9717.2</v>
      </c>
      <c r="S310" s="4" t="n">
        <f aca="false">R310*(P310/100)</f>
        <v>194.344</v>
      </c>
      <c r="T310" s="4" t="n">
        <f aca="false">R310-S310</f>
        <v>9522.856</v>
      </c>
    </row>
    <row r="311" customFormat="false" ht="15" hidden="false" customHeight="false" outlineLevel="0" collapsed="false">
      <c r="A311" s="2" t="n">
        <v>800310</v>
      </c>
      <c r="B311" s="2" t="s">
        <v>339</v>
      </c>
      <c r="C311" s="2" t="s">
        <v>32</v>
      </c>
      <c r="D311" s="2" t="s">
        <v>66</v>
      </c>
      <c r="E311" s="2" t="s">
        <v>67</v>
      </c>
      <c r="F311" s="2" t="s">
        <v>35</v>
      </c>
      <c r="G311" s="2" t="s">
        <v>143</v>
      </c>
      <c r="H311" s="2" t="s">
        <v>26</v>
      </c>
      <c r="I311" s="2" t="s">
        <v>44</v>
      </c>
      <c r="J311" s="2" t="s">
        <v>45</v>
      </c>
      <c r="K311" s="2" t="s">
        <v>46</v>
      </c>
      <c r="L311" s="2" t="s">
        <v>47</v>
      </c>
      <c r="M311" s="2" t="n">
        <v>441</v>
      </c>
      <c r="N311" s="3" t="n">
        <v>20</v>
      </c>
      <c r="O311" s="4" t="n">
        <v>17.13</v>
      </c>
      <c r="P311" s="5" t="n">
        <v>5</v>
      </c>
      <c r="Q311" s="2" t="n">
        <v>2</v>
      </c>
      <c r="R311" s="4" t="n">
        <f aca="false">M311*O311</f>
        <v>7554.33</v>
      </c>
      <c r="S311" s="4" t="n">
        <f aca="false">R311*(P311/100)</f>
        <v>377.7165</v>
      </c>
      <c r="T311" s="4" t="n">
        <f aca="false">R311-S311</f>
        <v>7176.6135</v>
      </c>
    </row>
    <row r="312" customFormat="false" ht="15" hidden="false" customHeight="false" outlineLevel="0" collapsed="false">
      <c r="A312" s="2" t="n">
        <v>800311</v>
      </c>
      <c r="B312" s="2" t="s">
        <v>291</v>
      </c>
      <c r="C312" s="2" t="s">
        <v>84</v>
      </c>
      <c r="D312" s="2" t="s">
        <v>164</v>
      </c>
      <c r="E312" s="2" t="s">
        <v>211</v>
      </c>
      <c r="F312" s="2" t="s">
        <v>87</v>
      </c>
      <c r="G312" s="2" t="s">
        <v>94</v>
      </c>
      <c r="H312" s="2" t="s">
        <v>26</v>
      </c>
      <c r="I312" s="2" t="s">
        <v>44</v>
      </c>
      <c r="J312" s="2" t="s">
        <v>45</v>
      </c>
      <c r="K312" s="2" t="s">
        <v>46</v>
      </c>
      <c r="L312" s="2" t="s">
        <v>64</v>
      </c>
      <c r="M312" s="2" t="n">
        <v>484</v>
      </c>
      <c r="N312" s="3" t="n">
        <v>20</v>
      </c>
      <c r="O312" s="4" t="n">
        <v>19.57</v>
      </c>
      <c r="P312" s="5" t="n">
        <v>10</v>
      </c>
      <c r="Q312" s="2" t="n">
        <v>0</v>
      </c>
      <c r="R312" s="4" t="n">
        <f aca="false">M312*O312</f>
        <v>9471.88</v>
      </c>
      <c r="S312" s="4" t="n">
        <f aca="false">R312*(P312/100)</f>
        <v>947.188</v>
      </c>
      <c r="T312" s="4" t="n">
        <f aca="false">R312-S312</f>
        <v>8524.692</v>
      </c>
    </row>
    <row r="313" customFormat="false" ht="15" hidden="false" customHeight="false" outlineLevel="0" collapsed="false">
      <c r="A313" s="2" t="n">
        <v>800312</v>
      </c>
      <c r="B313" s="2" t="s">
        <v>302</v>
      </c>
      <c r="C313" s="2" t="s">
        <v>32</v>
      </c>
      <c r="D313" s="2" t="s">
        <v>33</v>
      </c>
      <c r="E313" s="2" t="s">
        <v>141</v>
      </c>
      <c r="F313" s="2" t="s">
        <v>78</v>
      </c>
      <c r="G313" s="2" t="s">
        <v>143</v>
      </c>
      <c r="H313" s="2" t="s">
        <v>26</v>
      </c>
      <c r="I313" s="2" t="s">
        <v>37</v>
      </c>
      <c r="J313" s="2" t="s">
        <v>38</v>
      </c>
      <c r="K313" s="2" t="s">
        <v>39</v>
      </c>
      <c r="L313" s="2" t="s">
        <v>47</v>
      </c>
      <c r="M313" s="2" t="n">
        <v>207</v>
      </c>
      <c r="N313" s="3" t="n">
        <v>30</v>
      </c>
      <c r="O313" s="4" t="n">
        <v>28.49</v>
      </c>
      <c r="P313" s="5" t="n">
        <v>0</v>
      </c>
      <c r="Q313" s="2" t="n">
        <v>1</v>
      </c>
      <c r="R313" s="4" t="n">
        <f aca="false">M313*O313</f>
        <v>5897.43</v>
      </c>
      <c r="S313" s="4" t="n">
        <f aca="false">R313*(P313/100)</f>
        <v>0</v>
      </c>
      <c r="T313" s="4" t="n">
        <f aca="false">R313-S313</f>
        <v>5897.43</v>
      </c>
    </row>
    <row r="314" customFormat="false" ht="15" hidden="false" customHeight="false" outlineLevel="0" collapsed="false">
      <c r="A314" s="2" t="n">
        <v>800313</v>
      </c>
      <c r="B314" s="2" t="s">
        <v>343</v>
      </c>
      <c r="C314" s="2" t="s">
        <v>84</v>
      </c>
      <c r="D314" s="2" t="s">
        <v>128</v>
      </c>
      <c r="E314" s="2" t="s">
        <v>129</v>
      </c>
      <c r="F314" s="2" t="s">
        <v>78</v>
      </c>
      <c r="G314" s="2" t="s">
        <v>62</v>
      </c>
      <c r="H314" s="2" t="s">
        <v>26</v>
      </c>
      <c r="I314" s="2" t="s">
        <v>69</v>
      </c>
      <c r="J314" s="2" t="s">
        <v>134</v>
      </c>
      <c r="K314" s="2" t="s">
        <v>39</v>
      </c>
      <c r="L314" s="2" t="s">
        <v>47</v>
      </c>
      <c r="M314" s="2" t="n">
        <v>233</v>
      </c>
      <c r="N314" s="3" t="n">
        <v>20</v>
      </c>
      <c r="O314" s="4" t="n">
        <v>18.24</v>
      </c>
      <c r="P314" s="5" t="n">
        <v>0</v>
      </c>
      <c r="Q314" s="2" t="n">
        <v>3</v>
      </c>
      <c r="R314" s="4" t="n">
        <f aca="false">M314*O314</f>
        <v>4249.92</v>
      </c>
      <c r="S314" s="4" t="n">
        <f aca="false">R314*(P314/100)</f>
        <v>0</v>
      </c>
      <c r="T314" s="4" t="n">
        <f aca="false">R314-S314</f>
        <v>4249.92</v>
      </c>
    </row>
    <row r="315" customFormat="false" ht="15" hidden="false" customHeight="false" outlineLevel="0" collapsed="false">
      <c r="A315" s="2" t="n">
        <v>800314</v>
      </c>
      <c r="B315" s="2" t="s">
        <v>115</v>
      </c>
      <c r="C315" s="2" t="s">
        <v>41</v>
      </c>
      <c r="D315" s="2" t="s">
        <v>49</v>
      </c>
      <c r="E315" s="2" t="s">
        <v>50</v>
      </c>
      <c r="F315" s="2" t="s">
        <v>24</v>
      </c>
      <c r="G315" s="2" t="s">
        <v>125</v>
      </c>
      <c r="H315" s="2" t="s">
        <v>26</v>
      </c>
      <c r="I315" s="2" t="s">
        <v>69</v>
      </c>
      <c r="J315" s="2" t="s">
        <v>81</v>
      </c>
      <c r="K315" s="2" t="s">
        <v>39</v>
      </c>
      <c r="L315" s="2" t="s">
        <v>161</v>
      </c>
      <c r="M315" s="2" t="n">
        <v>358</v>
      </c>
      <c r="N315" s="3" t="n">
        <v>20</v>
      </c>
      <c r="O315" s="4" t="n">
        <v>17.28</v>
      </c>
      <c r="P315" s="5" t="n">
        <v>5</v>
      </c>
      <c r="Q315" s="2" t="n">
        <v>0</v>
      </c>
      <c r="R315" s="4" t="n">
        <f aca="false">M315*O315</f>
        <v>6186.24</v>
      </c>
      <c r="S315" s="4" t="n">
        <f aca="false">R315*(P315/100)</f>
        <v>309.312</v>
      </c>
      <c r="T315" s="4" t="n">
        <f aca="false">R315-S315</f>
        <v>5876.928</v>
      </c>
    </row>
    <row r="316" customFormat="false" ht="15" hidden="false" customHeight="false" outlineLevel="0" collapsed="false">
      <c r="A316" s="2" t="n">
        <v>800315</v>
      </c>
      <c r="B316" s="2" t="s">
        <v>348</v>
      </c>
      <c r="C316" s="2" t="s">
        <v>21</v>
      </c>
      <c r="D316" s="2" t="s">
        <v>171</v>
      </c>
      <c r="E316" s="2" t="s">
        <v>172</v>
      </c>
      <c r="F316" s="2" t="s">
        <v>87</v>
      </c>
      <c r="G316" s="2" t="s">
        <v>52</v>
      </c>
      <c r="H316" s="2" t="s">
        <v>26</v>
      </c>
      <c r="I316" s="2" t="s">
        <v>69</v>
      </c>
      <c r="J316" s="2" t="s">
        <v>114</v>
      </c>
      <c r="K316" s="2" t="s">
        <v>29</v>
      </c>
      <c r="L316" s="2" t="s">
        <v>99</v>
      </c>
      <c r="M316" s="2" t="n">
        <v>331</v>
      </c>
      <c r="N316" s="3" t="n">
        <v>20</v>
      </c>
      <c r="O316" s="4" t="n">
        <v>17.56</v>
      </c>
      <c r="P316" s="5" t="n">
        <v>5</v>
      </c>
      <c r="Q316" s="2" t="n">
        <v>3</v>
      </c>
      <c r="R316" s="4" t="n">
        <f aca="false">M316*O316</f>
        <v>5812.36</v>
      </c>
      <c r="S316" s="4" t="n">
        <f aca="false">R316*(P316/100)</f>
        <v>290.618</v>
      </c>
      <c r="T316" s="4" t="n">
        <f aca="false">R316-S316</f>
        <v>5521.742</v>
      </c>
    </row>
    <row r="317" customFormat="false" ht="15" hidden="false" customHeight="false" outlineLevel="0" collapsed="false">
      <c r="A317" s="2" t="n">
        <v>800316</v>
      </c>
      <c r="B317" s="2" t="s">
        <v>79</v>
      </c>
      <c r="C317" s="2" t="s">
        <v>84</v>
      </c>
      <c r="D317" s="2" t="s">
        <v>164</v>
      </c>
      <c r="E317" s="2" t="s">
        <v>165</v>
      </c>
      <c r="F317" s="2" t="s">
        <v>24</v>
      </c>
      <c r="G317" s="2" t="s">
        <v>36</v>
      </c>
      <c r="H317" s="2" t="s">
        <v>26</v>
      </c>
      <c r="I317" s="2" t="s">
        <v>37</v>
      </c>
      <c r="J317" s="2" t="s">
        <v>38</v>
      </c>
      <c r="K317" s="2" t="s">
        <v>39</v>
      </c>
      <c r="L317" s="2" t="s">
        <v>99</v>
      </c>
      <c r="M317" s="2" t="n">
        <v>372</v>
      </c>
      <c r="N317" s="3" t="n">
        <v>30</v>
      </c>
      <c r="O317" s="4" t="n">
        <v>29.42</v>
      </c>
      <c r="P317" s="5" t="n">
        <v>7.5</v>
      </c>
      <c r="Q317" s="2" t="n">
        <v>0</v>
      </c>
      <c r="R317" s="4" t="n">
        <f aca="false">M317*O317</f>
        <v>10944.24</v>
      </c>
      <c r="S317" s="4" t="n">
        <f aca="false">R317*(P317/100)</f>
        <v>820.818</v>
      </c>
      <c r="T317" s="4" t="n">
        <f aca="false">R317-S317</f>
        <v>10123.422</v>
      </c>
    </row>
    <row r="318" customFormat="false" ht="15" hidden="false" customHeight="false" outlineLevel="0" collapsed="false">
      <c r="A318" s="2" t="n">
        <v>800317</v>
      </c>
      <c r="B318" s="2" t="s">
        <v>326</v>
      </c>
      <c r="C318" s="2" t="s">
        <v>21</v>
      </c>
      <c r="D318" s="2" t="s">
        <v>22</v>
      </c>
      <c r="E318" s="2" t="s">
        <v>109</v>
      </c>
      <c r="F318" s="2" t="s">
        <v>35</v>
      </c>
      <c r="G318" s="2" t="s">
        <v>62</v>
      </c>
      <c r="H318" s="2" t="s">
        <v>26</v>
      </c>
      <c r="I318" s="2" t="s">
        <v>57</v>
      </c>
      <c r="J318" s="2" t="s">
        <v>104</v>
      </c>
      <c r="K318" s="2" t="s">
        <v>59</v>
      </c>
      <c r="L318" s="2" t="s">
        <v>47</v>
      </c>
      <c r="M318" s="2" t="n">
        <v>419</v>
      </c>
      <c r="N318" s="3" t="n">
        <v>25</v>
      </c>
      <c r="O318" s="4" t="n">
        <v>23.04</v>
      </c>
      <c r="P318" s="5" t="n">
        <v>0</v>
      </c>
      <c r="Q318" s="2" t="n">
        <v>0</v>
      </c>
      <c r="R318" s="4" t="n">
        <f aca="false">M318*O318</f>
        <v>9653.76</v>
      </c>
      <c r="S318" s="4" t="n">
        <f aca="false">R318*(P318/100)</f>
        <v>0</v>
      </c>
      <c r="T318" s="4" t="n">
        <f aca="false">R318-S318</f>
        <v>9653.76</v>
      </c>
    </row>
    <row r="319" customFormat="false" ht="15" hidden="false" customHeight="false" outlineLevel="0" collapsed="false">
      <c r="A319" s="2" t="n">
        <v>800318</v>
      </c>
      <c r="B319" s="2" t="s">
        <v>342</v>
      </c>
      <c r="C319" s="2" t="s">
        <v>32</v>
      </c>
      <c r="D319" s="2" t="s">
        <v>151</v>
      </c>
      <c r="E319" s="2" t="s">
        <v>152</v>
      </c>
      <c r="F319" s="2" t="s">
        <v>87</v>
      </c>
      <c r="G319" s="2" t="s">
        <v>94</v>
      </c>
      <c r="H319" s="2" t="s">
        <v>26</v>
      </c>
      <c r="I319" s="2" t="s">
        <v>69</v>
      </c>
      <c r="J319" s="2" t="s">
        <v>134</v>
      </c>
      <c r="K319" s="2" t="s">
        <v>71</v>
      </c>
      <c r="L319" s="2" t="s">
        <v>64</v>
      </c>
      <c r="M319" s="2" t="n">
        <v>467</v>
      </c>
      <c r="N319" s="3" t="n">
        <v>40</v>
      </c>
      <c r="O319" s="4" t="n">
        <v>34.22</v>
      </c>
      <c r="P319" s="5" t="n">
        <v>5</v>
      </c>
      <c r="Q319" s="2" t="n">
        <v>1</v>
      </c>
      <c r="R319" s="4" t="n">
        <f aca="false">M319*O319</f>
        <v>15980.74</v>
      </c>
      <c r="S319" s="4" t="n">
        <f aca="false">R319*(P319/100)</f>
        <v>799.037</v>
      </c>
      <c r="T319" s="4" t="n">
        <f aca="false">R319-S319</f>
        <v>15181.703</v>
      </c>
    </row>
    <row r="320" customFormat="false" ht="15" hidden="false" customHeight="false" outlineLevel="0" collapsed="false">
      <c r="A320" s="2" t="n">
        <v>800319</v>
      </c>
      <c r="B320" s="2" t="s">
        <v>20</v>
      </c>
      <c r="C320" s="2" t="s">
        <v>84</v>
      </c>
      <c r="D320" s="2" t="s">
        <v>164</v>
      </c>
      <c r="E320" s="2" t="s">
        <v>211</v>
      </c>
      <c r="F320" s="2" t="s">
        <v>78</v>
      </c>
      <c r="G320" s="2" t="s">
        <v>36</v>
      </c>
      <c r="H320" s="2" t="s">
        <v>26</v>
      </c>
      <c r="I320" s="2" t="s">
        <v>69</v>
      </c>
      <c r="J320" s="2" t="s">
        <v>70</v>
      </c>
      <c r="K320" s="2" t="s">
        <v>39</v>
      </c>
      <c r="L320" s="2" t="s">
        <v>64</v>
      </c>
      <c r="M320" s="2" t="n">
        <v>188</v>
      </c>
      <c r="N320" s="3" t="n">
        <v>20</v>
      </c>
      <c r="O320" s="4" t="n">
        <v>18</v>
      </c>
      <c r="P320" s="5" t="n">
        <v>12.5</v>
      </c>
      <c r="Q320" s="2" t="n">
        <v>0</v>
      </c>
      <c r="R320" s="4" t="n">
        <f aca="false">M320*O320</f>
        <v>3384</v>
      </c>
      <c r="S320" s="4" t="n">
        <f aca="false">R320*(P320/100)</f>
        <v>423</v>
      </c>
      <c r="T320" s="4" t="n">
        <f aca="false">R320-S320</f>
        <v>2961</v>
      </c>
    </row>
    <row r="321" customFormat="false" ht="15" hidden="false" customHeight="false" outlineLevel="0" collapsed="false">
      <c r="A321" s="2" t="n">
        <v>800320</v>
      </c>
      <c r="B321" s="2" t="s">
        <v>209</v>
      </c>
      <c r="C321" s="2" t="s">
        <v>84</v>
      </c>
      <c r="D321" s="2" t="s">
        <v>119</v>
      </c>
      <c r="E321" s="2" t="s">
        <v>120</v>
      </c>
      <c r="F321" s="2" t="s">
        <v>78</v>
      </c>
      <c r="G321" s="2" t="s">
        <v>103</v>
      </c>
      <c r="H321" s="2" t="s">
        <v>26</v>
      </c>
      <c r="I321" s="2" t="s">
        <v>57</v>
      </c>
      <c r="J321" s="2" t="s">
        <v>58</v>
      </c>
      <c r="K321" s="2" t="s">
        <v>59</v>
      </c>
      <c r="L321" s="2" t="s">
        <v>107</v>
      </c>
      <c r="M321" s="2" t="n">
        <v>447</v>
      </c>
      <c r="N321" s="3" t="n">
        <v>20</v>
      </c>
      <c r="O321" s="4" t="n">
        <v>18.08</v>
      </c>
      <c r="P321" s="5" t="n">
        <v>12.5</v>
      </c>
      <c r="Q321" s="2" t="n">
        <v>1</v>
      </c>
      <c r="R321" s="4" t="n">
        <f aca="false">M321*O321</f>
        <v>8081.76</v>
      </c>
      <c r="S321" s="4" t="n">
        <f aca="false">R321*(P321/100)</f>
        <v>1010.22</v>
      </c>
      <c r="T321" s="4" t="n">
        <f aca="false">R321-S321</f>
        <v>7071.54</v>
      </c>
    </row>
    <row r="322" customFormat="false" ht="15" hidden="false" customHeight="false" outlineLevel="0" collapsed="false">
      <c r="A322" s="2" t="n">
        <v>800321</v>
      </c>
      <c r="B322" s="2" t="s">
        <v>232</v>
      </c>
      <c r="C322" s="2" t="s">
        <v>32</v>
      </c>
      <c r="D322" s="2" t="s">
        <v>66</v>
      </c>
      <c r="E322" s="2" t="s">
        <v>113</v>
      </c>
      <c r="F322" s="2" t="s">
        <v>78</v>
      </c>
      <c r="G322" s="2" t="s">
        <v>106</v>
      </c>
      <c r="H322" s="2" t="s">
        <v>26</v>
      </c>
      <c r="I322" s="2" t="s">
        <v>69</v>
      </c>
      <c r="J322" s="2" t="s">
        <v>202</v>
      </c>
      <c r="K322" s="2" t="s">
        <v>39</v>
      </c>
      <c r="L322" s="2" t="s">
        <v>53</v>
      </c>
      <c r="M322" s="2" t="n">
        <v>267</v>
      </c>
      <c r="N322" s="3" t="n">
        <v>20</v>
      </c>
      <c r="O322" s="4" t="n">
        <v>19.25</v>
      </c>
      <c r="P322" s="5" t="n">
        <v>12.5</v>
      </c>
      <c r="Q322" s="2" t="n">
        <v>0</v>
      </c>
      <c r="R322" s="4" t="n">
        <f aca="false">M322*O322</f>
        <v>5139.75</v>
      </c>
      <c r="S322" s="4" t="n">
        <f aca="false">R322*(P322/100)</f>
        <v>642.46875</v>
      </c>
      <c r="T322" s="4" t="n">
        <f aca="false">R322-S322</f>
        <v>4497.28125</v>
      </c>
    </row>
    <row r="323" customFormat="false" ht="15" hidden="false" customHeight="false" outlineLevel="0" collapsed="false">
      <c r="A323" s="2" t="n">
        <v>800322</v>
      </c>
      <c r="B323" s="2" t="s">
        <v>349</v>
      </c>
      <c r="C323" s="2" t="s">
        <v>41</v>
      </c>
      <c r="D323" s="2" t="s">
        <v>42</v>
      </c>
      <c r="E323" s="2" t="s">
        <v>179</v>
      </c>
      <c r="F323" s="2" t="s">
        <v>78</v>
      </c>
      <c r="G323" s="2" t="s">
        <v>62</v>
      </c>
      <c r="H323" s="2" t="s">
        <v>26</v>
      </c>
      <c r="I323" s="2" t="s">
        <v>27</v>
      </c>
      <c r="J323" s="2" t="s">
        <v>98</v>
      </c>
      <c r="K323" s="2" t="s">
        <v>46</v>
      </c>
      <c r="L323" s="2" t="s">
        <v>60</v>
      </c>
      <c r="M323" s="2" t="n">
        <v>77</v>
      </c>
      <c r="N323" s="3" t="n">
        <v>99</v>
      </c>
      <c r="O323" s="4" t="n">
        <v>96.45</v>
      </c>
      <c r="P323" s="5" t="n">
        <v>12.5</v>
      </c>
      <c r="Q323" s="2" t="n">
        <v>0</v>
      </c>
      <c r="R323" s="4" t="n">
        <f aca="false">M323*O323</f>
        <v>7426.65</v>
      </c>
      <c r="S323" s="4" t="n">
        <f aca="false">R323*(P323/100)</f>
        <v>928.33125</v>
      </c>
      <c r="T323" s="4" t="n">
        <f aca="false">R323-S323</f>
        <v>6498.31875</v>
      </c>
    </row>
    <row r="324" customFormat="false" ht="15" hidden="false" customHeight="false" outlineLevel="0" collapsed="false">
      <c r="A324" s="2" t="n">
        <v>800323</v>
      </c>
      <c r="B324" s="2" t="s">
        <v>278</v>
      </c>
      <c r="C324" s="2" t="s">
        <v>84</v>
      </c>
      <c r="D324" s="2" t="s">
        <v>119</v>
      </c>
      <c r="E324" s="2" t="s">
        <v>120</v>
      </c>
      <c r="F324" s="2" t="s">
        <v>35</v>
      </c>
      <c r="G324" s="2" t="s">
        <v>125</v>
      </c>
      <c r="H324" s="2" t="s">
        <v>26</v>
      </c>
      <c r="I324" s="2" t="s">
        <v>37</v>
      </c>
      <c r="J324" s="2" t="s">
        <v>38</v>
      </c>
      <c r="K324" s="2" t="s">
        <v>39</v>
      </c>
      <c r="L324" s="2" t="s">
        <v>82</v>
      </c>
      <c r="M324" s="2" t="n">
        <v>285</v>
      </c>
      <c r="N324" s="3" t="n">
        <v>30</v>
      </c>
      <c r="O324" s="4" t="n">
        <v>27.7</v>
      </c>
      <c r="P324" s="5" t="n">
        <v>0</v>
      </c>
      <c r="Q324" s="2" t="n">
        <v>1</v>
      </c>
      <c r="R324" s="4" t="n">
        <f aca="false">M324*O324</f>
        <v>7894.5</v>
      </c>
      <c r="S324" s="4" t="n">
        <f aca="false">R324*(P324/100)</f>
        <v>0</v>
      </c>
      <c r="T324" s="4" t="n">
        <f aca="false">R324-S324</f>
        <v>7894.5</v>
      </c>
    </row>
    <row r="325" customFormat="false" ht="15" hidden="false" customHeight="false" outlineLevel="0" collapsed="false">
      <c r="A325" s="2" t="n">
        <v>800324</v>
      </c>
      <c r="B325" s="2" t="s">
        <v>108</v>
      </c>
      <c r="C325" s="2" t="s">
        <v>32</v>
      </c>
      <c r="D325" s="2" t="s">
        <v>151</v>
      </c>
      <c r="E325" s="2" t="s">
        <v>152</v>
      </c>
      <c r="F325" s="2" t="s">
        <v>51</v>
      </c>
      <c r="G325" s="2" t="s">
        <v>106</v>
      </c>
      <c r="H325" s="2" t="s">
        <v>26</v>
      </c>
      <c r="I325" s="2" t="s">
        <v>37</v>
      </c>
      <c r="J325" s="2" t="s">
        <v>38</v>
      </c>
      <c r="K325" s="2" t="s">
        <v>39</v>
      </c>
      <c r="L325" s="2" t="s">
        <v>132</v>
      </c>
      <c r="M325" s="2" t="n">
        <v>349</v>
      </c>
      <c r="N325" s="3" t="n">
        <v>30</v>
      </c>
      <c r="O325" s="4" t="n">
        <v>29.42</v>
      </c>
      <c r="P325" s="5" t="n">
        <v>12.5</v>
      </c>
      <c r="Q325" s="2" t="n">
        <v>2</v>
      </c>
      <c r="R325" s="4" t="n">
        <f aca="false">M325*O325</f>
        <v>10267.58</v>
      </c>
      <c r="S325" s="4" t="n">
        <f aca="false">R325*(P325/100)</f>
        <v>1283.4475</v>
      </c>
      <c r="T325" s="4" t="n">
        <f aca="false">R325-S325</f>
        <v>8984.1325</v>
      </c>
    </row>
    <row r="326" customFormat="false" ht="15" hidden="false" customHeight="false" outlineLevel="0" collapsed="false">
      <c r="A326" s="2" t="n">
        <v>800325</v>
      </c>
      <c r="B326" s="2" t="s">
        <v>270</v>
      </c>
      <c r="C326" s="2" t="s">
        <v>21</v>
      </c>
      <c r="D326" s="2" t="s">
        <v>101</v>
      </c>
      <c r="E326" s="2" t="s">
        <v>102</v>
      </c>
      <c r="F326" s="2" t="s">
        <v>24</v>
      </c>
      <c r="G326" s="2" t="s">
        <v>137</v>
      </c>
      <c r="H326" s="2" t="s">
        <v>26</v>
      </c>
      <c r="I326" s="2" t="s">
        <v>44</v>
      </c>
      <c r="J326" s="2" t="s">
        <v>45</v>
      </c>
      <c r="K326" s="2" t="s">
        <v>46</v>
      </c>
      <c r="L326" s="2" t="s">
        <v>30</v>
      </c>
      <c r="M326" s="2" t="n">
        <v>134</v>
      </c>
      <c r="N326" s="3" t="n">
        <v>20</v>
      </c>
      <c r="O326" s="4" t="n">
        <v>18.54</v>
      </c>
      <c r="P326" s="5" t="n">
        <v>10</v>
      </c>
      <c r="Q326" s="2" t="n">
        <v>1</v>
      </c>
      <c r="R326" s="4" t="n">
        <f aca="false">M326*O326</f>
        <v>2484.36</v>
      </c>
      <c r="S326" s="4" t="n">
        <f aca="false">R326*(P326/100)</f>
        <v>248.436</v>
      </c>
      <c r="T326" s="4" t="n">
        <f aca="false">R326-S326</f>
        <v>2235.924</v>
      </c>
    </row>
    <row r="327" customFormat="false" ht="15" hidden="false" customHeight="false" outlineLevel="0" collapsed="false">
      <c r="A327" s="2" t="n">
        <v>800326</v>
      </c>
      <c r="B327" s="2" t="s">
        <v>234</v>
      </c>
      <c r="C327" s="2" t="s">
        <v>21</v>
      </c>
      <c r="D327" s="2" t="s">
        <v>101</v>
      </c>
      <c r="E327" s="2" t="s">
        <v>241</v>
      </c>
      <c r="F327" s="2" t="s">
        <v>35</v>
      </c>
      <c r="G327" s="2" t="s">
        <v>94</v>
      </c>
      <c r="H327" s="2" t="s">
        <v>26</v>
      </c>
      <c r="I327" s="2" t="s">
        <v>69</v>
      </c>
      <c r="J327" s="2" t="s">
        <v>114</v>
      </c>
      <c r="K327" s="2" t="s">
        <v>29</v>
      </c>
      <c r="L327" s="2" t="s">
        <v>60</v>
      </c>
      <c r="M327" s="2" t="n">
        <v>181</v>
      </c>
      <c r="N327" s="3" t="n">
        <v>20</v>
      </c>
      <c r="O327" s="4" t="n">
        <v>17.33</v>
      </c>
      <c r="P327" s="5" t="n">
        <v>12.5</v>
      </c>
      <c r="Q327" s="2" t="n">
        <v>0</v>
      </c>
      <c r="R327" s="4" t="n">
        <f aca="false">M327*O327</f>
        <v>3136.73</v>
      </c>
      <c r="S327" s="4" t="n">
        <f aca="false">R327*(P327/100)</f>
        <v>392.09125</v>
      </c>
      <c r="T327" s="4" t="n">
        <f aca="false">R327-S327</f>
        <v>2744.63875</v>
      </c>
    </row>
    <row r="328" customFormat="false" ht="15" hidden="false" customHeight="false" outlineLevel="0" collapsed="false">
      <c r="A328" s="2" t="n">
        <v>800327</v>
      </c>
      <c r="B328" s="2" t="s">
        <v>350</v>
      </c>
      <c r="C328" s="2" t="s">
        <v>41</v>
      </c>
      <c r="D328" s="2" t="s">
        <v>42</v>
      </c>
      <c r="E328" s="2" t="s">
        <v>131</v>
      </c>
      <c r="F328" s="2" t="s">
        <v>35</v>
      </c>
      <c r="G328" s="2" t="s">
        <v>90</v>
      </c>
      <c r="H328" s="2" t="s">
        <v>26</v>
      </c>
      <c r="I328" s="2" t="s">
        <v>69</v>
      </c>
      <c r="J328" s="2" t="s">
        <v>134</v>
      </c>
      <c r="K328" s="2" t="s">
        <v>71</v>
      </c>
      <c r="L328" s="2" t="s">
        <v>53</v>
      </c>
      <c r="M328" s="2" t="n">
        <v>336</v>
      </c>
      <c r="N328" s="3" t="n">
        <v>40</v>
      </c>
      <c r="O328" s="4" t="n">
        <v>37.57</v>
      </c>
      <c r="P328" s="5" t="n">
        <v>2</v>
      </c>
      <c r="Q328" s="2" t="n">
        <v>2</v>
      </c>
      <c r="R328" s="4" t="n">
        <f aca="false">M328*O328</f>
        <v>12623.52</v>
      </c>
      <c r="S328" s="4" t="n">
        <f aca="false">R328*(P328/100)</f>
        <v>252.4704</v>
      </c>
      <c r="T328" s="4" t="n">
        <f aca="false">R328-S328</f>
        <v>12371.0496</v>
      </c>
    </row>
    <row r="329" customFormat="false" ht="15" hidden="false" customHeight="false" outlineLevel="0" collapsed="false">
      <c r="A329" s="2" t="n">
        <v>800328</v>
      </c>
      <c r="B329" s="2" t="s">
        <v>79</v>
      </c>
      <c r="C329" s="2" t="s">
        <v>84</v>
      </c>
      <c r="D329" s="2" t="s">
        <v>128</v>
      </c>
      <c r="E329" s="2" t="s">
        <v>129</v>
      </c>
      <c r="F329" s="2" t="s">
        <v>51</v>
      </c>
      <c r="G329" s="2" t="s">
        <v>137</v>
      </c>
      <c r="H329" s="2" t="s">
        <v>26</v>
      </c>
      <c r="I329" s="2" t="s">
        <v>37</v>
      </c>
      <c r="J329" s="2" t="s">
        <v>38</v>
      </c>
      <c r="K329" s="2" t="s">
        <v>39</v>
      </c>
      <c r="L329" s="2" t="s">
        <v>82</v>
      </c>
      <c r="M329" s="2" t="n">
        <v>386</v>
      </c>
      <c r="N329" s="3" t="n">
        <v>30</v>
      </c>
      <c r="O329" s="4" t="n">
        <v>27.4</v>
      </c>
      <c r="P329" s="5" t="n">
        <v>0</v>
      </c>
      <c r="Q329" s="2" t="n">
        <v>0</v>
      </c>
      <c r="R329" s="4" t="n">
        <f aca="false">M329*O329</f>
        <v>10576.4</v>
      </c>
      <c r="S329" s="4" t="n">
        <f aca="false">R329*(P329/100)</f>
        <v>0</v>
      </c>
      <c r="T329" s="4" t="n">
        <f aca="false">R329-S329</f>
        <v>10576.4</v>
      </c>
    </row>
    <row r="330" customFormat="false" ht="15" hidden="false" customHeight="false" outlineLevel="0" collapsed="false">
      <c r="A330" s="2" t="n">
        <v>800329</v>
      </c>
      <c r="B330" s="2" t="s">
        <v>351</v>
      </c>
      <c r="C330" s="2" t="s">
        <v>84</v>
      </c>
      <c r="D330" s="2" t="s">
        <v>119</v>
      </c>
      <c r="E330" s="2" t="s">
        <v>201</v>
      </c>
      <c r="F330" s="2" t="s">
        <v>35</v>
      </c>
      <c r="G330" s="2" t="s">
        <v>90</v>
      </c>
      <c r="H330" s="2" t="s">
        <v>26</v>
      </c>
      <c r="I330" s="2" t="s">
        <v>44</v>
      </c>
      <c r="J330" s="2" t="s">
        <v>126</v>
      </c>
      <c r="K330" s="2" t="s">
        <v>71</v>
      </c>
      <c r="L330" s="2" t="s">
        <v>47</v>
      </c>
      <c r="M330" s="2" t="n">
        <v>43</v>
      </c>
      <c r="N330" s="3" t="n">
        <v>20</v>
      </c>
      <c r="O330" s="4" t="n">
        <v>19.51</v>
      </c>
      <c r="P330" s="5" t="n">
        <v>12.5</v>
      </c>
      <c r="Q330" s="2" t="n">
        <v>0</v>
      </c>
      <c r="R330" s="4" t="n">
        <f aca="false">M330*O330</f>
        <v>838.93</v>
      </c>
      <c r="S330" s="4" t="n">
        <f aca="false">R330*(P330/100)</f>
        <v>104.86625</v>
      </c>
      <c r="T330" s="4" t="n">
        <f aca="false">R330-S330</f>
        <v>734.06375</v>
      </c>
    </row>
    <row r="331" customFormat="false" ht="15" hidden="false" customHeight="false" outlineLevel="0" collapsed="false">
      <c r="A331" s="2" t="n">
        <v>800330</v>
      </c>
      <c r="B331" s="2" t="s">
        <v>352</v>
      </c>
      <c r="C331" s="2" t="s">
        <v>21</v>
      </c>
      <c r="D331" s="2" t="s">
        <v>147</v>
      </c>
      <c r="E331" s="2" t="s">
        <v>148</v>
      </c>
      <c r="F331" s="2" t="s">
        <v>24</v>
      </c>
      <c r="G331" s="2" t="s">
        <v>25</v>
      </c>
      <c r="H331" s="2" t="s">
        <v>26</v>
      </c>
      <c r="I331" s="2" t="s">
        <v>69</v>
      </c>
      <c r="J331" s="2" t="s">
        <v>202</v>
      </c>
      <c r="K331" s="2" t="s">
        <v>39</v>
      </c>
      <c r="L331" s="2" t="s">
        <v>99</v>
      </c>
      <c r="M331" s="2" t="n">
        <v>254</v>
      </c>
      <c r="N331" s="3" t="n">
        <v>20</v>
      </c>
      <c r="O331" s="4" t="n">
        <v>19.31</v>
      </c>
      <c r="P331" s="5" t="n">
        <v>2</v>
      </c>
      <c r="Q331" s="2" t="n">
        <v>1</v>
      </c>
      <c r="R331" s="4" t="n">
        <f aca="false">M331*O331</f>
        <v>4904.74</v>
      </c>
      <c r="S331" s="4" t="n">
        <f aca="false">R331*(P331/100)</f>
        <v>98.0948</v>
      </c>
      <c r="T331" s="4" t="n">
        <f aca="false">R331-S331</f>
        <v>4806.6452</v>
      </c>
    </row>
    <row r="332" customFormat="false" ht="15" hidden="false" customHeight="false" outlineLevel="0" collapsed="false">
      <c r="A332" s="2" t="n">
        <v>800331</v>
      </c>
      <c r="B332" s="2" t="s">
        <v>282</v>
      </c>
      <c r="C332" s="2" t="s">
        <v>41</v>
      </c>
      <c r="D332" s="2" t="s">
        <v>73</v>
      </c>
      <c r="E332" s="2" t="s">
        <v>167</v>
      </c>
      <c r="F332" s="2" t="s">
        <v>35</v>
      </c>
      <c r="G332" s="2" t="s">
        <v>52</v>
      </c>
      <c r="H332" s="2" t="s">
        <v>26</v>
      </c>
      <c r="I332" s="2" t="s">
        <v>57</v>
      </c>
      <c r="J332" s="2" t="s">
        <v>58</v>
      </c>
      <c r="K332" s="2" t="s">
        <v>59</v>
      </c>
      <c r="L332" s="2" t="s">
        <v>53</v>
      </c>
      <c r="M332" s="2" t="n">
        <v>278</v>
      </c>
      <c r="N332" s="3" t="n">
        <v>20</v>
      </c>
      <c r="O332" s="4" t="n">
        <v>17.38</v>
      </c>
      <c r="P332" s="5" t="n">
        <v>12.5</v>
      </c>
      <c r="Q332" s="2" t="n">
        <v>0</v>
      </c>
      <c r="R332" s="4" t="n">
        <f aca="false">M332*O332</f>
        <v>4831.64</v>
      </c>
      <c r="S332" s="4" t="n">
        <f aca="false">R332*(P332/100)</f>
        <v>603.955</v>
      </c>
      <c r="T332" s="4" t="n">
        <f aca="false">R332-S332</f>
        <v>4227.685</v>
      </c>
    </row>
    <row r="333" customFormat="false" ht="15" hidden="false" customHeight="false" outlineLevel="0" collapsed="false">
      <c r="A333" s="2" t="n">
        <v>800332</v>
      </c>
      <c r="B333" s="2" t="s">
        <v>353</v>
      </c>
      <c r="C333" s="2" t="s">
        <v>21</v>
      </c>
      <c r="D333" s="2" t="s">
        <v>171</v>
      </c>
      <c r="E333" s="2" t="s">
        <v>192</v>
      </c>
      <c r="F333" s="2" t="s">
        <v>35</v>
      </c>
      <c r="G333" s="2" t="s">
        <v>94</v>
      </c>
      <c r="H333" s="2" t="s">
        <v>26</v>
      </c>
      <c r="I333" s="2" t="s">
        <v>37</v>
      </c>
      <c r="J333" s="2" t="s">
        <v>38</v>
      </c>
      <c r="K333" s="2" t="s">
        <v>39</v>
      </c>
      <c r="L333" s="2" t="s">
        <v>53</v>
      </c>
      <c r="M333" s="2" t="n">
        <v>108</v>
      </c>
      <c r="N333" s="3" t="n">
        <v>30</v>
      </c>
      <c r="O333" s="4" t="n">
        <v>28.57</v>
      </c>
      <c r="P333" s="5" t="n">
        <v>0</v>
      </c>
      <c r="Q333" s="2" t="n">
        <v>0</v>
      </c>
      <c r="R333" s="4" t="n">
        <f aca="false">M333*O333</f>
        <v>3085.56</v>
      </c>
      <c r="S333" s="4" t="n">
        <f aca="false">R333*(P333/100)</f>
        <v>0</v>
      </c>
      <c r="T333" s="4" t="n">
        <f aca="false">R333-S333</f>
        <v>3085.56</v>
      </c>
    </row>
    <row r="334" customFormat="false" ht="15" hidden="false" customHeight="false" outlineLevel="0" collapsed="false">
      <c r="A334" s="2" t="n">
        <v>800333</v>
      </c>
      <c r="B334" s="2" t="s">
        <v>354</v>
      </c>
      <c r="C334" s="2" t="s">
        <v>84</v>
      </c>
      <c r="D334" s="2" t="s">
        <v>164</v>
      </c>
      <c r="E334" s="2" t="s">
        <v>165</v>
      </c>
      <c r="F334" s="2" t="s">
        <v>35</v>
      </c>
      <c r="G334" s="2" t="s">
        <v>125</v>
      </c>
      <c r="H334" s="2" t="s">
        <v>26</v>
      </c>
      <c r="I334" s="2" t="s">
        <v>27</v>
      </c>
      <c r="J334" s="2" t="s">
        <v>91</v>
      </c>
      <c r="K334" s="2" t="s">
        <v>29</v>
      </c>
      <c r="L334" s="2" t="s">
        <v>161</v>
      </c>
      <c r="M334" s="2" t="n">
        <v>195</v>
      </c>
      <c r="N334" s="3" t="n">
        <v>35</v>
      </c>
      <c r="O334" s="4" t="n">
        <v>34.51</v>
      </c>
      <c r="P334" s="5" t="n">
        <v>12.5</v>
      </c>
      <c r="Q334" s="2" t="n">
        <v>0</v>
      </c>
      <c r="R334" s="4" t="n">
        <f aca="false">M334*O334</f>
        <v>6729.45</v>
      </c>
      <c r="S334" s="4" t="n">
        <f aca="false">R334*(P334/100)</f>
        <v>841.18125</v>
      </c>
      <c r="T334" s="4" t="n">
        <f aca="false">R334-S334</f>
        <v>5888.26875</v>
      </c>
    </row>
    <row r="335" customFormat="false" ht="15" hidden="false" customHeight="false" outlineLevel="0" collapsed="false">
      <c r="A335" s="2" t="n">
        <v>800334</v>
      </c>
      <c r="B335" s="2" t="s">
        <v>298</v>
      </c>
      <c r="C335" s="2" t="s">
        <v>41</v>
      </c>
      <c r="D335" s="2" t="s">
        <v>49</v>
      </c>
      <c r="E335" s="2" t="s">
        <v>80</v>
      </c>
      <c r="F335" s="2" t="s">
        <v>35</v>
      </c>
      <c r="G335" s="2" t="s">
        <v>137</v>
      </c>
      <c r="H335" s="2" t="s">
        <v>26</v>
      </c>
      <c r="I335" s="2" t="s">
        <v>37</v>
      </c>
      <c r="J335" s="2" t="s">
        <v>38</v>
      </c>
      <c r="K335" s="2" t="s">
        <v>39</v>
      </c>
      <c r="L335" s="2" t="s">
        <v>99</v>
      </c>
      <c r="M335" s="2" t="n">
        <v>127</v>
      </c>
      <c r="N335" s="3" t="n">
        <v>30</v>
      </c>
      <c r="O335" s="4" t="n">
        <v>28.12</v>
      </c>
      <c r="P335" s="5" t="n">
        <v>5</v>
      </c>
      <c r="Q335" s="2" t="n">
        <v>1</v>
      </c>
      <c r="R335" s="4" t="n">
        <f aca="false">M335*O335</f>
        <v>3571.24</v>
      </c>
      <c r="S335" s="4" t="n">
        <f aca="false">R335*(P335/100)</f>
        <v>178.562</v>
      </c>
      <c r="T335" s="4" t="n">
        <f aca="false">R335-S335</f>
        <v>3392.678</v>
      </c>
    </row>
    <row r="336" customFormat="false" ht="15" hidden="false" customHeight="false" outlineLevel="0" collapsed="false">
      <c r="A336" s="2" t="n">
        <v>800335</v>
      </c>
      <c r="B336" s="2" t="s">
        <v>208</v>
      </c>
      <c r="C336" s="2" t="s">
        <v>32</v>
      </c>
      <c r="D336" s="2" t="s">
        <v>33</v>
      </c>
      <c r="E336" s="2" t="s">
        <v>34</v>
      </c>
      <c r="F336" s="2" t="s">
        <v>35</v>
      </c>
      <c r="G336" s="2" t="s">
        <v>125</v>
      </c>
      <c r="H336" s="2" t="s">
        <v>26</v>
      </c>
      <c r="I336" s="2" t="s">
        <v>44</v>
      </c>
      <c r="J336" s="2" t="s">
        <v>126</v>
      </c>
      <c r="K336" s="2" t="s">
        <v>71</v>
      </c>
      <c r="L336" s="2" t="s">
        <v>47</v>
      </c>
      <c r="M336" s="2" t="n">
        <v>409</v>
      </c>
      <c r="N336" s="3" t="n">
        <v>20</v>
      </c>
      <c r="O336" s="4" t="n">
        <v>17.99</v>
      </c>
      <c r="P336" s="5" t="n">
        <v>12.5</v>
      </c>
      <c r="Q336" s="2" t="n">
        <v>1</v>
      </c>
      <c r="R336" s="4" t="n">
        <f aca="false">M336*O336</f>
        <v>7357.91</v>
      </c>
      <c r="S336" s="4" t="n">
        <f aca="false">R336*(P336/100)</f>
        <v>919.73875</v>
      </c>
      <c r="T336" s="4" t="n">
        <f aca="false">R336-S336</f>
        <v>6438.17125</v>
      </c>
    </row>
    <row r="337" customFormat="false" ht="15" hidden="false" customHeight="false" outlineLevel="0" collapsed="false">
      <c r="A337" s="2" t="n">
        <v>800336</v>
      </c>
      <c r="B337" s="2" t="s">
        <v>130</v>
      </c>
      <c r="C337" s="2" t="s">
        <v>84</v>
      </c>
      <c r="D337" s="2" t="s">
        <v>164</v>
      </c>
      <c r="E337" s="2" t="s">
        <v>211</v>
      </c>
      <c r="F337" s="2" t="s">
        <v>35</v>
      </c>
      <c r="G337" s="2" t="s">
        <v>52</v>
      </c>
      <c r="H337" s="2" t="s">
        <v>26</v>
      </c>
      <c r="I337" s="2" t="s">
        <v>69</v>
      </c>
      <c r="J337" s="2" t="s">
        <v>202</v>
      </c>
      <c r="K337" s="2" t="s">
        <v>39</v>
      </c>
      <c r="L337" s="2" t="s">
        <v>64</v>
      </c>
      <c r="M337" s="2" t="n">
        <v>47</v>
      </c>
      <c r="N337" s="3" t="n">
        <v>20</v>
      </c>
      <c r="O337" s="4" t="n">
        <v>18.88</v>
      </c>
      <c r="P337" s="5" t="n">
        <v>2</v>
      </c>
      <c r="Q337" s="2" t="n">
        <v>0</v>
      </c>
      <c r="R337" s="4" t="n">
        <f aca="false">M337*O337</f>
        <v>887.36</v>
      </c>
      <c r="S337" s="4" t="n">
        <f aca="false">R337*(P337/100)</f>
        <v>17.7472</v>
      </c>
      <c r="T337" s="4" t="n">
        <f aca="false">R337-S337</f>
        <v>869.6128</v>
      </c>
    </row>
    <row r="338" customFormat="false" ht="15" hidden="false" customHeight="false" outlineLevel="0" collapsed="false">
      <c r="A338" s="2" t="n">
        <v>800337</v>
      </c>
      <c r="B338" s="2" t="s">
        <v>355</v>
      </c>
      <c r="C338" s="2" t="s">
        <v>84</v>
      </c>
      <c r="D338" s="2" t="s">
        <v>119</v>
      </c>
      <c r="E338" s="2" t="s">
        <v>120</v>
      </c>
      <c r="F338" s="2" t="s">
        <v>78</v>
      </c>
      <c r="G338" s="2" t="s">
        <v>125</v>
      </c>
      <c r="H338" s="2" t="s">
        <v>26</v>
      </c>
      <c r="I338" s="2" t="s">
        <v>44</v>
      </c>
      <c r="J338" s="2" t="s">
        <v>45</v>
      </c>
      <c r="K338" s="2" t="s">
        <v>46</v>
      </c>
      <c r="L338" s="2" t="s">
        <v>30</v>
      </c>
      <c r="M338" s="2" t="n">
        <v>36</v>
      </c>
      <c r="N338" s="3" t="n">
        <v>20</v>
      </c>
      <c r="O338" s="4" t="n">
        <v>18</v>
      </c>
      <c r="P338" s="5" t="n">
        <v>12.5</v>
      </c>
      <c r="Q338" s="2" t="n">
        <v>0</v>
      </c>
      <c r="R338" s="4" t="n">
        <f aca="false">M338*O338</f>
        <v>648</v>
      </c>
      <c r="S338" s="4" t="n">
        <f aca="false">R338*(P338/100)</f>
        <v>81</v>
      </c>
      <c r="T338" s="4" t="n">
        <f aca="false">R338-S338</f>
        <v>567</v>
      </c>
    </row>
    <row r="339" customFormat="false" ht="15" hidden="false" customHeight="false" outlineLevel="0" collapsed="false">
      <c r="A339" s="2" t="n">
        <v>800338</v>
      </c>
      <c r="B339" s="2" t="s">
        <v>356</v>
      </c>
      <c r="C339" s="2" t="s">
        <v>32</v>
      </c>
      <c r="D339" s="2" t="s">
        <v>76</v>
      </c>
      <c r="E339" s="2" t="s">
        <v>77</v>
      </c>
      <c r="F339" s="2" t="s">
        <v>24</v>
      </c>
      <c r="G339" s="2" t="s">
        <v>90</v>
      </c>
      <c r="H339" s="2" t="s">
        <v>26</v>
      </c>
      <c r="I339" s="2" t="s">
        <v>44</v>
      </c>
      <c r="J339" s="2" t="s">
        <v>126</v>
      </c>
      <c r="K339" s="2" t="s">
        <v>71</v>
      </c>
      <c r="L339" s="2" t="s">
        <v>132</v>
      </c>
      <c r="M339" s="2" t="n">
        <v>494</v>
      </c>
      <c r="N339" s="3" t="n">
        <v>20</v>
      </c>
      <c r="O339" s="4" t="n">
        <v>18.07</v>
      </c>
      <c r="P339" s="5" t="n">
        <v>10</v>
      </c>
      <c r="Q339" s="2" t="n">
        <v>1</v>
      </c>
      <c r="R339" s="4" t="n">
        <f aca="false">M339*O339</f>
        <v>8926.58</v>
      </c>
      <c r="S339" s="4" t="n">
        <f aca="false">R339*(P339/100)</f>
        <v>892.658</v>
      </c>
      <c r="T339" s="4" t="n">
        <f aca="false">R339-S339</f>
        <v>8033.922</v>
      </c>
    </row>
    <row r="340" customFormat="false" ht="15" hidden="false" customHeight="false" outlineLevel="0" collapsed="false">
      <c r="A340" s="2" t="n">
        <v>800339</v>
      </c>
      <c r="B340" s="2" t="s">
        <v>357</v>
      </c>
      <c r="C340" s="2" t="s">
        <v>21</v>
      </c>
      <c r="D340" s="2" t="s">
        <v>22</v>
      </c>
      <c r="E340" s="2" t="s">
        <v>23</v>
      </c>
      <c r="F340" s="2" t="s">
        <v>24</v>
      </c>
      <c r="G340" s="2" t="s">
        <v>143</v>
      </c>
      <c r="H340" s="2" t="s">
        <v>26</v>
      </c>
      <c r="I340" s="2" t="s">
        <v>57</v>
      </c>
      <c r="J340" s="2" t="s">
        <v>104</v>
      </c>
      <c r="K340" s="2" t="s">
        <v>59</v>
      </c>
      <c r="L340" s="2" t="s">
        <v>82</v>
      </c>
      <c r="M340" s="2" t="n">
        <v>406</v>
      </c>
      <c r="N340" s="3" t="n">
        <v>25</v>
      </c>
      <c r="O340" s="4" t="n">
        <v>23.31</v>
      </c>
      <c r="P340" s="5" t="n">
        <v>2</v>
      </c>
      <c r="Q340" s="2" t="n">
        <v>0</v>
      </c>
      <c r="R340" s="4" t="n">
        <f aca="false">M340*O340</f>
        <v>9463.86</v>
      </c>
      <c r="S340" s="4" t="n">
        <f aca="false">R340*(P340/100)</f>
        <v>189.2772</v>
      </c>
      <c r="T340" s="4" t="n">
        <f aca="false">R340-S340</f>
        <v>9274.5828</v>
      </c>
    </row>
    <row r="341" customFormat="false" ht="15" hidden="false" customHeight="false" outlineLevel="0" collapsed="false">
      <c r="A341" s="2" t="n">
        <v>800340</v>
      </c>
      <c r="B341" s="2" t="s">
        <v>130</v>
      </c>
      <c r="C341" s="2" t="s">
        <v>41</v>
      </c>
      <c r="D341" s="2" t="s">
        <v>73</v>
      </c>
      <c r="E341" s="2" t="s">
        <v>167</v>
      </c>
      <c r="F341" s="2" t="s">
        <v>78</v>
      </c>
      <c r="G341" s="2" t="s">
        <v>106</v>
      </c>
      <c r="H341" s="2" t="s">
        <v>26</v>
      </c>
      <c r="I341" s="2" t="s">
        <v>27</v>
      </c>
      <c r="J341" s="2" t="s">
        <v>28</v>
      </c>
      <c r="K341" s="2" t="s">
        <v>29</v>
      </c>
      <c r="L341" s="2" t="s">
        <v>161</v>
      </c>
      <c r="M341" s="2" t="n">
        <v>40</v>
      </c>
      <c r="N341" s="3" t="n">
        <v>30</v>
      </c>
      <c r="O341" s="4" t="n">
        <v>27.3</v>
      </c>
      <c r="P341" s="5" t="n">
        <v>5</v>
      </c>
      <c r="Q341" s="2" t="n">
        <v>0</v>
      </c>
      <c r="R341" s="4" t="n">
        <f aca="false">M341*O341</f>
        <v>1092</v>
      </c>
      <c r="S341" s="4" t="n">
        <f aca="false">R341*(P341/100)</f>
        <v>54.6</v>
      </c>
      <c r="T341" s="4" t="n">
        <f aca="false">R341-S341</f>
        <v>1037.4</v>
      </c>
    </row>
    <row r="342" customFormat="false" ht="15" hidden="false" customHeight="false" outlineLevel="0" collapsed="false">
      <c r="A342" s="2" t="n">
        <v>800341</v>
      </c>
      <c r="B342" s="2" t="s">
        <v>181</v>
      </c>
      <c r="C342" s="2" t="s">
        <v>84</v>
      </c>
      <c r="D342" s="2" t="s">
        <v>128</v>
      </c>
      <c r="E342" s="2" t="s">
        <v>199</v>
      </c>
      <c r="F342" s="2" t="s">
        <v>51</v>
      </c>
      <c r="G342" s="2" t="s">
        <v>125</v>
      </c>
      <c r="H342" s="2" t="s">
        <v>26</v>
      </c>
      <c r="I342" s="2" t="s">
        <v>27</v>
      </c>
      <c r="J342" s="2" t="s">
        <v>28</v>
      </c>
      <c r="K342" s="2" t="s">
        <v>29</v>
      </c>
      <c r="L342" s="2" t="s">
        <v>64</v>
      </c>
      <c r="M342" s="2" t="n">
        <v>495</v>
      </c>
      <c r="N342" s="3" t="n">
        <v>30</v>
      </c>
      <c r="O342" s="4" t="n">
        <v>26.86</v>
      </c>
      <c r="P342" s="5" t="n">
        <v>0</v>
      </c>
      <c r="Q342" s="2" t="n">
        <v>0</v>
      </c>
      <c r="R342" s="4" t="n">
        <f aca="false">M342*O342</f>
        <v>13295.7</v>
      </c>
      <c r="S342" s="4" t="n">
        <f aca="false">R342*(P342/100)</f>
        <v>0</v>
      </c>
      <c r="T342" s="4" t="n">
        <f aca="false">R342-S342</f>
        <v>13295.7</v>
      </c>
    </row>
    <row r="343" customFormat="false" ht="15" hidden="false" customHeight="false" outlineLevel="0" collapsed="false">
      <c r="A343" s="2" t="n">
        <v>800342</v>
      </c>
      <c r="B343" s="2" t="s">
        <v>235</v>
      </c>
      <c r="C343" s="2" t="s">
        <v>84</v>
      </c>
      <c r="D343" s="2" t="s">
        <v>128</v>
      </c>
      <c r="E343" s="2" t="s">
        <v>199</v>
      </c>
      <c r="F343" s="2" t="s">
        <v>35</v>
      </c>
      <c r="G343" s="2" t="s">
        <v>25</v>
      </c>
      <c r="H343" s="2" t="s">
        <v>26</v>
      </c>
      <c r="I343" s="2" t="s">
        <v>27</v>
      </c>
      <c r="J343" s="2" t="s">
        <v>28</v>
      </c>
      <c r="K343" s="2" t="s">
        <v>29</v>
      </c>
      <c r="L343" s="2" t="s">
        <v>30</v>
      </c>
      <c r="M343" s="2" t="n">
        <v>101</v>
      </c>
      <c r="N343" s="3" t="n">
        <v>30</v>
      </c>
      <c r="O343" s="4" t="n">
        <v>27.25</v>
      </c>
      <c r="P343" s="5" t="n">
        <v>10</v>
      </c>
      <c r="Q343" s="2" t="n">
        <v>0</v>
      </c>
      <c r="R343" s="4" t="n">
        <f aca="false">M343*O343</f>
        <v>2752.25</v>
      </c>
      <c r="S343" s="4" t="n">
        <f aca="false">R343*(P343/100)</f>
        <v>275.225</v>
      </c>
      <c r="T343" s="4" t="n">
        <f aca="false">R343-S343</f>
        <v>2477.025</v>
      </c>
    </row>
    <row r="344" customFormat="false" ht="15" hidden="false" customHeight="false" outlineLevel="0" collapsed="false">
      <c r="A344" s="2" t="n">
        <v>800343</v>
      </c>
      <c r="B344" s="2" t="s">
        <v>209</v>
      </c>
      <c r="C344" s="2" t="s">
        <v>32</v>
      </c>
      <c r="D344" s="2" t="s">
        <v>33</v>
      </c>
      <c r="E344" s="2" t="s">
        <v>34</v>
      </c>
      <c r="F344" s="2" t="s">
        <v>87</v>
      </c>
      <c r="G344" s="2" t="s">
        <v>137</v>
      </c>
      <c r="H344" s="2" t="s">
        <v>26</v>
      </c>
      <c r="I344" s="2" t="s">
        <v>44</v>
      </c>
      <c r="J344" s="2" t="s">
        <v>45</v>
      </c>
      <c r="K344" s="2" t="s">
        <v>111</v>
      </c>
      <c r="L344" s="2" t="s">
        <v>99</v>
      </c>
      <c r="M344" s="2" t="n">
        <v>405</v>
      </c>
      <c r="N344" s="3" t="n">
        <v>10</v>
      </c>
      <c r="O344" s="4" t="n">
        <v>9.37</v>
      </c>
      <c r="P344" s="5" t="n">
        <v>12.5</v>
      </c>
      <c r="Q344" s="2" t="n">
        <v>3</v>
      </c>
      <c r="R344" s="4" t="n">
        <f aca="false">M344*O344</f>
        <v>3794.85</v>
      </c>
      <c r="S344" s="4" t="n">
        <f aca="false">R344*(P344/100)</f>
        <v>474.35625</v>
      </c>
      <c r="T344" s="4" t="n">
        <f aca="false">R344-S344</f>
        <v>3320.49375</v>
      </c>
    </row>
    <row r="345" customFormat="false" ht="15" hidden="false" customHeight="false" outlineLevel="0" collapsed="false">
      <c r="A345" s="2" t="n">
        <v>800344</v>
      </c>
      <c r="B345" s="2" t="s">
        <v>332</v>
      </c>
      <c r="C345" s="2" t="s">
        <v>21</v>
      </c>
      <c r="D345" s="2" t="s">
        <v>22</v>
      </c>
      <c r="E345" s="2" t="s">
        <v>23</v>
      </c>
      <c r="F345" s="2" t="s">
        <v>51</v>
      </c>
      <c r="G345" s="2" t="s">
        <v>25</v>
      </c>
      <c r="H345" s="2" t="s">
        <v>26</v>
      </c>
      <c r="I345" s="2" t="s">
        <v>37</v>
      </c>
      <c r="J345" s="2" t="s">
        <v>38</v>
      </c>
      <c r="K345" s="2" t="s">
        <v>39</v>
      </c>
      <c r="L345" s="2" t="s">
        <v>132</v>
      </c>
      <c r="M345" s="2" t="n">
        <v>369</v>
      </c>
      <c r="N345" s="3" t="n">
        <v>30</v>
      </c>
      <c r="O345" s="4" t="n">
        <v>29.22</v>
      </c>
      <c r="P345" s="5" t="n">
        <v>10</v>
      </c>
      <c r="Q345" s="2" t="n">
        <v>0</v>
      </c>
      <c r="R345" s="4" t="n">
        <f aca="false">M345*O345</f>
        <v>10782.18</v>
      </c>
      <c r="S345" s="4" t="n">
        <f aca="false">R345*(P345/100)</f>
        <v>1078.218</v>
      </c>
      <c r="T345" s="4" t="n">
        <f aca="false">R345-S345</f>
        <v>9703.962</v>
      </c>
    </row>
    <row r="346" customFormat="false" ht="15" hidden="false" customHeight="false" outlineLevel="0" collapsed="false">
      <c r="A346" s="2" t="n">
        <v>800345</v>
      </c>
      <c r="B346" s="2" t="s">
        <v>95</v>
      </c>
      <c r="C346" s="2" t="s">
        <v>84</v>
      </c>
      <c r="D346" s="2" t="s">
        <v>119</v>
      </c>
      <c r="E346" s="2" t="s">
        <v>120</v>
      </c>
      <c r="F346" s="2" t="s">
        <v>35</v>
      </c>
      <c r="G346" s="2" t="s">
        <v>137</v>
      </c>
      <c r="H346" s="2" t="s">
        <v>26</v>
      </c>
      <c r="I346" s="2" t="s">
        <v>37</v>
      </c>
      <c r="J346" s="2" t="s">
        <v>38</v>
      </c>
      <c r="K346" s="2" t="s">
        <v>39</v>
      </c>
      <c r="L346" s="2" t="s">
        <v>60</v>
      </c>
      <c r="M346" s="2" t="n">
        <v>42</v>
      </c>
      <c r="N346" s="3" t="n">
        <v>30</v>
      </c>
      <c r="O346" s="4" t="n">
        <v>26.75</v>
      </c>
      <c r="P346" s="5" t="n">
        <v>2</v>
      </c>
      <c r="Q346" s="2" t="n">
        <v>1</v>
      </c>
      <c r="R346" s="4" t="n">
        <f aca="false">M346*O346</f>
        <v>1123.5</v>
      </c>
      <c r="S346" s="4" t="n">
        <f aca="false">R346*(P346/100)</f>
        <v>22.47</v>
      </c>
      <c r="T346" s="4" t="n">
        <f aca="false">R346-S346</f>
        <v>1101.03</v>
      </c>
    </row>
    <row r="347" customFormat="false" ht="15" hidden="false" customHeight="false" outlineLevel="0" collapsed="false">
      <c r="A347" s="2" t="n">
        <v>800346</v>
      </c>
      <c r="B347" s="2" t="s">
        <v>358</v>
      </c>
      <c r="C347" s="2" t="s">
        <v>21</v>
      </c>
      <c r="D347" s="2" t="s">
        <v>22</v>
      </c>
      <c r="E347" s="2" t="s">
        <v>109</v>
      </c>
      <c r="F347" s="2" t="s">
        <v>35</v>
      </c>
      <c r="G347" s="2" t="s">
        <v>90</v>
      </c>
      <c r="H347" s="2" t="s">
        <v>26</v>
      </c>
      <c r="I347" s="2" t="s">
        <v>69</v>
      </c>
      <c r="J347" s="2" t="s">
        <v>134</v>
      </c>
      <c r="K347" s="2" t="s">
        <v>71</v>
      </c>
      <c r="L347" s="2" t="s">
        <v>99</v>
      </c>
      <c r="M347" s="2" t="n">
        <v>363</v>
      </c>
      <c r="N347" s="3" t="n">
        <v>40</v>
      </c>
      <c r="O347" s="4" t="n">
        <v>37.53</v>
      </c>
      <c r="P347" s="5" t="n">
        <v>2</v>
      </c>
      <c r="Q347" s="2" t="n">
        <v>1</v>
      </c>
      <c r="R347" s="4" t="n">
        <f aca="false">M347*O347</f>
        <v>13623.39</v>
      </c>
      <c r="S347" s="4" t="n">
        <f aca="false">R347*(P347/100)</f>
        <v>272.4678</v>
      </c>
      <c r="T347" s="4" t="n">
        <f aca="false">R347-S347</f>
        <v>13350.9222</v>
      </c>
    </row>
    <row r="348" customFormat="false" ht="15" hidden="false" customHeight="false" outlineLevel="0" collapsed="false">
      <c r="A348" s="2" t="n">
        <v>800347</v>
      </c>
      <c r="B348" s="2" t="s">
        <v>359</v>
      </c>
      <c r="C348" s="2" t="s">
        <v>32</v>
      </c>
      <c r="D348" s="2" t="s">
        <v>76</v>
      </c>
      <c r="E348" s="2" t="s">
        <v>77</v>
      </c>
      <c r="F348" s="2" t="s">
        <v>78</v>
      </c>
      <c r="G348" s="2" t="s">
        <v>125</v>
      </c>
      <c r="H348" s="2" t="s">
        <v>26</v>
      </c>
      <c r="I348" s="2" t="s">
        <v>27</v>
      </c>
      <c r="J348" s="2" t="s">
        <v>28</v>
      </c>
      <c r="K348" s="2" t="s">
        <v>29</v>
      </c>
      <c r="L348" s="2" t="s">
        <v>60</v>
      </c>
      <c r="M348" s="2" t="n">
        <v>387</v>
      </c>
      <c r="N348" s="3" t="n">
        <v>30</v>
      </c>
      <c r="O348" s="4" t="n">
        <v>26.89</v>
      </c>
      <c r="P348" s="5" t="n">
        <v>0</v>
      </c>
      <c r="Q348" s="2" t="n">
        <v>0</v>
      </c>
      <c r="R348" s="4" t="n">
        <f aca="false">M348*O348</f>
        <v>10406.43</v>
      </c>
      <c r="S348" s="4" t="n">
        <f aca="false">R348*(P348/100)</f>
        <v>0</v>
      </c>
      <c r="T348" s="4" t="n">
        <f aca="false">R348-S348</f>
        <v>10406.43</v>
      </c>
    </row>
    <row r="349" customFormat="false" ht="15" hidden="false" customHeight="false" outlineLevel="0" collapsed="false">
      <c r="A349" s="2" t="n">
        <v>800348</v>
      </c>
      <c r="B349" s="2" t="s">
        <v>315</v>
      </c>
      <c r="C349" s="2" t="s">
        <v>32</v>
      </c>
      <c r="D349" s="2" t="s">
        <v>55</v>
      </c>
      <c r="E349" s="2" t="s">
        <v>56</v>
      </c>
      <c r="F349" s="2" t="s">
        <v>35</v>
      </c>
      <c r="G349" s="2" t="s">
        <v>25</v>
      </c>
      <c r="H349" s="2" t="s">
        <v>26</v>
      </c>
      <c r="I349" s="2" t="s">
        <v>44</v>
      </c>
      <c r="J349" s="2" t="s">
        <v>45</v>
      </c>
      <c r="K349" s="2" t="s">
        <v>111</v>
      </c>
      <c r="L349" s="2" t="s">
        <v>161</v>
      </c>
      <c r="M349" s="2" t="n">
        <v>250</v>
      </c>
      <c r="N349" s="3" t="n">
        <v>10</v>
      </c>
      <c r="O349" s="4" t="n">
        <v>9.38</v>
      </c>
      <c r="P349" s="5" t="n">
        <v>10</v>
      </c>
      <c r="Q349" s="2" t="n">
        <v>1</v>
      </c>
      <c r="R349" s="4" t="n">
        <f aca="false">M349*O349</f>
        <v>2345</v>
      </c>
      <c r="S349" s="4" t="n">
        <f aca="false">R349*(P349/100)</f>
        <v>234.5</v>
      </c>
      <c r="T349" s="4" t="n">
        <f aca="false">R349-S349</f>
        <v>2110.5</v>
      </c>
    </row>
    <row r="350" customFormat="false" ht="15" hidden="false" customHeight="false" outlineLevel="0" collapsed="false">
      <c r="A350" s="2" t="n">
        <v>800349</v>
      </c>
      <c r="B350" s="2" t="s">
        <v>360</v>
      </c>
      <c r="C350" s="2" t="s">
        <v>41</v>
      </c>
      <c r="D350" s="2" t="s">
        <v>49</v>
      </c>
      <c r="E350" s="2" t="s">
        <v>50</v>
      </c>
      <c r="F350" s="2" t="s">
        <v>35</v>
      </c>
      <c r="G350" s="2" t="s">
        <v>36</v>
      </c>
      <c r="H350" s="2" t="s">
        <v>26</v>
      </c>
      <c r="I350" s="2" t="s">
        <v>37</v>
      </c>
      <c r="J350" s="2" t="s">
        <v>38</v>
      </c>
      <c r="K350" s="2" t="s">
        <v>39</v>
      </c>
      <c r="L350" s="2" t="s">
        <v>53</v>
      </c>
      <c r="M350" s="2" t="n">
        <v>43</v>
      </c>
      <c r="N350" s="3" t="n">
        <v>30</v>
      </c>
      <c r="O350" s="4" t="n">
        <v>28.44</v>
      </c>
      <c r="P350" s="5" t="n">
        <v>0</v>
      </c>
      <c r="Q350" s="2" t="n">
        <v>1</v>
      </c>
      <c r="R350" s="4" t="n">
        <f aca="false">M350*O350</f>
        <v>1222.92</v>
      </c>
      <c r="S350" s="4" t="n">
        <f aca="false">R350*(P350/100)</f>
        <v>0</v>
      </c>
      <c r="T350" s="4" t="n">
        <f aca="false">R350-S350</f>
        <v>1222.92</v>
      </c>
    </row>
    <row r="351" customFormat="false" ht="15" hidden="false" customHeight="false" outlineLevel="0" collapsed="false">
      <c r="A351" s="2" t="n">
        <v>800350</v>
      </c>
      <c r="B351" s="2" t="s">
        <v>361</v>
      </c>
      <c r="C351" s="2" t="s">
        <v>21</v>
      </c>
      <c r="D351" s="2" t="s">
        <v>147</v>
      </c>
      <c r="E351" s="2" t="s">
        <v>148</v>
      </c>
      <c r="F351" s="2" t="s">
        <v>87</v>
      </c>
      <c r="G351" s="2" t="s">
        <v>143</v>
      </c>
      <c r="H351" s="2" t="s">
        <v>26</v>
      </c>
      <c r="I351" s="2" t="s">
        <v>69</v>
      </c>
      <c r="J351" s="2" t="s">
        <v>81</v>
      </c>
      <c r="K351" s="2" t="s">
        <v>39</v>
      </c>
      <c r="L351" s="2" t="s">
        <v>60</v>
      </c>
      <c r="M351" s="2" t="n">
        <v>215</v>
      </c>
      <c r="N351" s="3" t="n">
        <v>20</v>
      </c>
      <c r="O351" s="4" t="n">
        <v>18.11</v>
      </c>
      <c r="P351" s="5" t="n">
        <v>0</v>
      </c>
      <c r="Q351" s="2" t="n">
        <v>2</v>
      </c>
      <c r="R351" s="4" t="n">
        <f aca="false">M351*O351</f>
        <v>3893.65</v>
      </c>
      <c r="S351" s="4" t="n">
        <f aca="false">R351*(P351/100)</f>
        <v>0</v>
      </c>
      <c r="T351" s="4" t="n">
        <f aca="false">R351-S351</f>
        <v>3893.65</v>
      </c>
    </row>
    <row r="352" customFormat="false" ht="15" hidden="false" customHeight="false" outlineLevel="0" collapsed="false">
      <c r="A352" s="2" t="n">
        <v>800351</v>
      </c>
      <c r="B352" s="2" t="s">
        <v>258</v>
      </c>
      <c r="C352" s="2" t="s">
        <v>32</v>
      </c>
      <c r="D352" s="2" t="s">
        <v>33</v>
      </c>
      <c r="E352" s="2" t="s">
        <v>34</v>
      </c>
      <c r="F352" s="2" t="s">
        <v>51</v>
      </c>
      <c r="G352" s="2" t="s">
        <v>90</v>
      </c>
      <c r="H352" s="2" t="s">
        <v>26</v>
      </c>
      <c r="I352" s="2" t="s">
        <v>44</v>
      </c>
      <c r="J352" s="2" t="s">
        <v>126</v>
      </c>
      <c r="K352" s="2" t="s">
        <v>71</v>
      </c>
      <c r="L352" s="2" t="s">
        <v>64</v>
      </c>
      <c r="M352" s="2" t="n">
        <v>172</v>
      </c>
      <c r="N352" s="3" t="n">
        <v>20</v>
      </c>
      <c r="O352" s="4" t="n">
        <v>18.9</v>
      </c>
      <c r="P352" s="5" t="n">
        <v>7.5</v>
      </c>
      <c r="Q352" s="2" t="n">
        <v>0</v>
      </c>
      <c r="R352" s="4" t="n">
        <f aca="false">M352*O352</f>
        <v>3250.8</v>
      </c>
      <c r="S352" s="4" t="n">
        <f aca="false">R352*(P352/100)</f>
        <v>243.81</v>
      </c>
      <c r="T352" s="4" t="n">
        <f aca="false">R352-S352</f>
        <v>3006.99</v>
      </c>
    </row>
    <row r="353" customFormat="false" ht="15" hidden="false" customHeight="false" outlineLevel="0" collapsed="false">
      <c r="A353" s="2" t="n">
        <v>800352</v>
      </c>
      <c r="B353" s="2" t="s">
        <v>362</v>
      </c>
      <c r="C353" s="2" t="s">
        <v>32</v>
      </c>
      <c r="D353" s="2" t="s">
        <v>66</v>
      </c>
      <c r="E353" s="2" t="s">
        <v>113</v>
      </c>
      <c r="F353" s="2" t="s">
        <v>78</v>
      </c>
      <c r="G353" s="2" t="s">
        <v>143</v>
      </c>
      <c r="H353" s="2" t="s">
        <v>26</v>
      </c>
      <c r="I353" s="2" t="s">
        <v>37</v>
      </c>
      <c r="J353" s="2" t="s">
        <v>38</v>
      </c>
      <c r="K353" s="2" t="s">
        <v>39</v>
      </c>
      <c r="L353" s="2" t="s">
        <v>30</v>
      </c>
      <c r="M353" s="2" t="n">
        <v>300</v>
      </c>
      <c r="N353" s="3" t="n">
        <v>30</v>
      </c>
      <c r="O353" s="4" t="n">
        <v>29.48</v>
      </c>
      <c r="P353" s="5" t="n">
        <v>5</v>
      </c>
      <c r="Q353" s="2" t="n">
        <v>0</v>
      </c>
      <c r="R353" s="4" t="n">
        <f aca="false">M353*O353</f>
        <v>8844</v>
      </c>
      <c r="S353" s="4" t="n">
        <f aca="false">R353*(P353/100)</f>
        <v>442.2</v>
      </c>
      <c r="T353" s="4" t="n">
        <f aca="false">R353-S353</f>
        <v>8401.8</v>
      </c>
    </row>
    <row r="354" customFormat="false" ht="15" hidden="false" customHeight="false" outlineLevel="0" collapsed="false">
      <c r="A354" s="2" t="n">
        <v>800353</v>
      </c>
      <c r="B354" s="2" t="s">
        <v>363</v>
      </c>
      <c r="C354" s="2" t="s">
        <v>32</v>
      </c>
      <c r="D354" s="2" t="s">
        <v>151</v>
      </c>
      <c r="E354" s="2" t="s">
        <v>158</v>
      </c>
      <c r="F354" s="2" t="s">
        <v>24</v>
      </c>
      <c r="G354" s="2" t="s">
        <v>106</v>
      </c>
      <c r="H354" s="2" t="s">
        <v>26</v>
      </c>
      <c r="I354" s="2" t="s">
        <v>27</v>
      </c>
      <c r="J354" s="2" t="s">
        <v>91</v>
      </c>
      <c r="K354" s="2" t="s">
        <v>29</v>
      </c>
      <c r="L354" s="2" t="s">
        <v>99</v>
      </c>
      <c r="M354" s="2" t="n">
        <v>78</v>
      </c>
      <c r="N354" s="3" t="n">
        <v>35</v>
      </c>
      <c r="O354" s="4" t="n">
        <v>30.64</v>
      </c>
      <c r="P354" s="5" t="n">
        <v>0</v>
      </c>
      <c r="Q354" s="2" t="n">
        <v>3</v>
      </c>
      <c r="R354" s="4" t="n">
        <f aca="false">M354*O354</f>
        <v>2389.92</v>
      </c>
      <c r="S354" s="4" t="n">
        <f aca="false">R354*(P354/100)</f>
        <v>0</v>
      </c>
      <c r="T354" s="4" t="n">
        <f aca="false">R354-S354</f>
        <v>2389.92</v>
      </c>
    </row>
    <row r="355" customFormat="false" ht="15" hidden="false" customHeight="false" outlineLevel="0" collapsed="false">
      <c r="A355" s="2" t="n">
        <v>800354</v>
      </c>
      <c r="B355" s="2" t="s">
        <v>229</v>
      </c>
      <c r="C355" s="2" t="s">
        <v>21</v>
      </c>
      <c r="D355" s="2" t="s">
        <v>147</v>
      </c>
      <c r="E355" s="2" t="s">
        <v>148</v>
      </c>
      <c r="F355" s="2" t="s">
        <v>78</v>
      </c>
      <c r="G355" s="2" t="s">
        <v>68</v>
      </c>
      <c r="H355" s="2" t="s">
        <v>26</v>
      </c>
      <c r="I355" s="2" t="s">
        <v>69</v>
      </c>
      <c r="J355" s="2" t="s">
        <v>70</v>
      </c>
      <c r="K355" s="2" t="s">
        <v>71</v>
      </c>
      <c r="L355" s="2" t="s">
        <v>53</v>
      </c>
      <c r="M355" s="2" t="n">
        <v>269</v>
      </c>
      <c r="N355" s="3" t="n">
        <v>40</v>
      </c>
      <c r="O355" s="4" t="n">
        <v>39.33</v>
      </c>
      <c r="P355" s="5" t="n">
        <v>7.5</v>
      </c>
      <c r="Q355" s="2" t="n">
        <v>0</v>
      </c>
      <c r="R355" s="4" t="n">
        <f aca="false">M355*O355</f>
        <v>10579.77</v>
      </c>
      <c r="S355" s="4" t="n">
        <f aca="false">R355*(P355/100)</f>
        <v>793.48275</v>
      </c>
      <c r="T355" s="4" t="n">
        <f aca="false">R355-S355</f>
        <v>9786.28725</v>
      </c>
    </row>
    <row r="356" customFormat="false" ht="15" hidden="false" customHeight="false" outlineLevel="0" collapsed="false">
      <c r="A356" s="2" t="n">
        <v>800355</v>
      </c>
      <c r="B356" s="2" t="s">
        <v>288</v>
      </c>
      <c r="C356" s="2" t="s">
        <v>32</v>
      </c>
      <c r="D356" s="2" t="s">
        <v>66</v>
      </c>
      <c r="E356" s="2" t="s">
        <v>67</v>
      </c>
      <c r="F356" s="2" t="s">
        <v>35</v>
      </c>
      <c r="G356" s="2" t="s">
        <v>52</v>
      </c>
      <c r="H356" s="2" t="s">
        <v>26</v>
      </c>
      <c r="I356" s="2" t="s">
        <v>27</v>
      </c>
      <c r="J356" s="2" t="s">
        <v>91</v>
      </c>
      <c r="K356" s="2" t="s">
        <v>29</v>
      </c>
      <c r="L356" s="2" t="s">
        <v>60</v>
      </c>
      <c r="M356" s="2" t="n">
        <v>250</v>
      </c>
      <c r="N356" s="3" t="n">
        <v>35</v>
      </c>
      <c r="O356" s="4" t="n">
        <v>31.36</v>
      </c>
      <c r="P356" s="5" t="n">
        <v>5</v>
      </c>
      <c r="Q356" s="2" t="n">
        <v>0</v>
      </c>
      <c r="R356" s="4" t="n">
        <f aca="false">M356*O356</f>
        <v>7840</v>
      </c>
      <c r="S356" s="4" t="n">
        <f aca="false">R356*(P356/100)</f>
        <v>392</v>
      </c>
      <c r="T356" s="4" t="n">
        <f aca="false">R356-S356</f>
        <v>7448</v>
      </c>
    </row>
    <row r="357" customFormat="false" ht="15" hidden="false" customHeight="false" outlineLevel="0" collapsed="false">
      <c r="A357" s="2" t="n">
        <v>800356</v>
      </c>
      <c r="B357" s="2" t="s">
        <v>293</v>
      </c>
      <c r="C357" s="2" t="s">
        <v>84</v>
      </c>
      <c r="D357" s="2" t="s">
        <v>119</v>
      </c>
      <c r="E357" s="2" t="s">
        <v>201</v>
      </c>
      <c r="F357" s="2" t="s">
        <v>24</v>
      </c>
      <c r="G357" s="2" t="s">
        <v>36</v>
      </c>
      <c r="H357" s="2" t="s">
        <v>26</v>
      </c>
      <c r="I357" s="2" t="s">
        <v>44</v>
      </c>
      <c r="J357" s="2" t="s">
        <v>45</v>
      </c>
      <c r="K357" s="2" t="s">
        <v>46</v>
      </c>
      <c r="L357" s="2" t="s">
        <v>99</v>
      </c>
      <c r="M357" s="2" t="n">
        <v>384</v>
      </c>
      <c r="N357" s="3" t="n">
        <v>20</v>
      </c>
      <c r="O357" s="4" t="n">
        <v>19.07</v>
      </c>
      <c r="P357" s="5" t="n">
        <v>10</v>
      </c>
      <c r="Q357" s="2" t="n">
        <v>0</v>
      </c>
      <c r="R357" s="4" t="n">
        <f aca="false">M357*O357</f>
        <v>7322.88</v>
      </c>
      <c r="S357" s="4" t="n">
        <f aca="false">R357*(P357/100)</f>
        <v>732.288</v>
      </c>
      <c r="T357" s="4" t="n">
        <f aca="false">R357-S357</f>
        <v>6590.592</v>
      </c>
    </row>
    <row r="358" customFormat="false" ht="15" hidden="false" customHeight="false" outlineLevel="0" collapsed="false">
      <c r="A358" s="2" t="n">
        <v>800357</v>
      </c>
      <c r="B358" s="2" t="s">
        <v>364</v>
      </c>
      <c r="C358" s="2" t="s">
        <v>32</v>
      </c>
      <c r="D358" s="2" t="s">
        <v>55</v>
      </c>
      <c r="E358" s="2" t="s">
        <v>93</v>
      </c>
      <c r="F358" s="2" t="s">
        <v>51</v>
      </c>
      <c r="G358" s="2" t="s">
        <v>94</v>
      </c>
      <c r="H358" s="2" t="s">
        <v>26</v>
      </c>
      <c r="I358" s="2" t="s">
        <v>44</v>
      </c>
      <c r="J358" s="2" t="s">
        <v>45</v>
      </c>
      <c r="K358" s="2" t="s">
        <v>111</v>
      </c>
      <c r="L358" s="2" t="s">
        <v>60</v>
      </c>
      <c r="M358" s="2" t="n">
        <v>302</v>
      </c>
      <c r="N358" s="3" t="n">
        <v>10</v>
      </c>
      <c r="O358" s="4" t="n">
        <v>8.65</v>
      </c>
      <c r="P358" s="5" t="n">
        <v>0</v>
      </c>
      <c r="Q358" s="2" t="n">
        <v>0</v>
      </c>
      <c r="R358" s="4" t="n">
        <f aca="false">M358*O358</f>
        <v>2612.3</v>
      </c>
      <c r="S358" s="4" t="n">
        <f aca="false">R358*(P358/100)</f>
        <v>0</v>
      </c>
      <c r="T358" s="4" t="n">
        <f aca="false">R358-S358</f>
        <v>2612.3</v>
      </c>
    </row>
    <row r="359" customFormat="false" ht="15" hidden="false" customHeight="false" outlineLevel="0" collapsed="false">
      <c r="A359" s="2" t="n">
        <v>800358</v>
      </c>
      <c r="B359" s="2" t="s">
        <v>356</v>
      </c>
      <c r="C359" s="2" t="s">
        <v>32</v>
      </c>
      <c r="D359" s="2" t="s">
        <v>55</v>
      </c>
      <c r="E359" s="2" t="s">
        <v>56</v>
      </c>
      <c r="F359" s="2" t="s">
        <v>78</v>
      </c>
      <c r="G359" s="2" t="s">
        <v>36</v>
      </c>
      <c r="H359" s="2" t="s">
        <v>26</v>
      </c>
      <c r="I359" s="2" t="s">
        <v>37</v>
      </c>
      <c r="J359" s="2" t="s">
        <v>38</v>
      </c>
      <c r="K359" s="2" t="s">
        <v>39</v>
      </c>
      <c r="L359" s="2" t="s">
        <v>53</v>
      </c>
      <c r="M359" s="2" t="n">
        <v>316</v>
      </c>
      <c r="N359" s="3" t="n">
        <v>30</v>
      </c>
      <c r="O359" s="4" t="n">
        <v>27.2</v>
      </c>
      <c r="P359" s="5" t="n">
        <v>2</v>
      </c>
      <c r="Q359" s="2" t="n">
        <v>0</v>
      </c>
      <c r="R359" s="4" t="n">
        <f aca="false">M359*O359</f>
        <v>8595.2</v>
      </c>
      <c r="S359" s="4" t="n">
        <f aca="false">R359*(P359/100)</f>
        <v>171.904</v>
      </c>
      <c r="T359" s="4" t="n">
        <f aca="false">R359-S359</f>
        <v>8423.296</v>
      </c>
    </row>
    <row r="360" customFormat="false" ht="15" hidden="false" customHeight="false" outlineLevel="0" collapsed="false">
      <c r="A360" s="2" t="n">
        <v>800359</v>
      </c>
      <c r="B360" s="2" t="s">
        <v>365</v>
      </c>
      <c r="C360" s="2" t="s">
        <v>84</v>
      </c>
      <c r="D360" s="2" t="s">
        <v>164</v>
      </c>
      <c r="E360" s="2" t="s">
        <v>211</v>
      </c>
      <c r="F360" s="2" t="s">
        <v>87</v>
      </c>
      <c r="G360" s="2" t="s">
        <v>103</v>
      </c>
      <c r="H360" s="2" t="s">
        <v>26</v>
      </c>
      <c r="I360" s="2" t="s">
        <v>27</v>
      </c>
      <c r="J360" s="2" t="s">
        <v>91</v>
      </c>
      <c r="K360" s="2" t="s">
        <v>29</v>
      </c>
      <c r="L360" s="2" t="s">
        <v>64</v>
      </c>
      <c r="M360" s="2" t="n">
        <v>257</v>
      </c>
      <c r="N360" s="3" t="n">
        <v>35</v>
      </c>
      <c r="O360" s="4" t="n">
        <v>32.21</v>
      </c>
      <c r="P360" s="5" t="n">
        <v>0</v>
      </c>
      <c r="Q360" s="2" t="n">
        <v>1</v>
      </c>
      <c r="R360" s="4" t="n">
        <f aca="false">M360*O360</f>
        <v>8277.97</v>
      </c>
      <c r="S360" s="4" t="n">
        <f aca="false">R360*(P360/100)</f>
        <v>0</v>
      </c>
      <c r="T360" s="4" t="n">
        <f aca="false">R360-S360</f>
        <v>8277.97</v>
      </c>
    </row>
    <row r="361" customFormat="false" ht="15" hidden="false" customHeight="false" outlineLevel="0" collapsed="false">
      <c r="A361" s="2" t="n">
        <v>800360</v>
      </c>
      <c r="B361" s="2" t="s">
        <v>366</v>
      </c>
      <c r="C361" s="2" t="s">
        <v>21</v>
      </c>
      <c r="D361" s="2" t="s">
        <v>116</v>
      </c>
      <c r="E361" s="2" t="s">
        <v>324</v>
      </c>
      <c r="F361" s="2" t="s">
        <v>35</v>
      </c>
      <c r="G361" s="2" t="s">
        <v>106</v>
      </c>
      <c r="H361" s="2" t="s">
        <v>26</v>
      </c>
      <c r="I361" s="2" t="s">
        <v>57</v>
      </c>
      <c r="J361" s="2" t="s">
        <v>104</v>
      </c>
      <c r="K361" s="2" t="s">
        <v>59</v>
      </c>
      <c r="L361" s="2" t="s">
        <v>64</v>
      </c>
      <c r="M361" s="2" t="n">
        <v>309</v>
      </c>
      <c r="N361" s="3" t="n">
        <v>25</v>
      </c>
      <c r="O361" s="4" t="n">
        <v>24.57</v>
      </c>
      <c r="P361" s="5" t="n">
        <v>0</v>
      </c>
      <c r="Q361" s="2" t="n">
        <v>2</v>
      </c>
      <c r="R361" s="4" t="n">
        <f aca="false">M361*O361</f>
        <v>7592.13</v>
      </c>
      <c r="S361" s="4" t="n">
        <f aca="false">R361*(P361/100)</f>
        <v>0</v>
      </c>
      <c r="T361" s="4" t="n">
        <f aca="false">R361-S361</f>
        <v>7592.13</v>
      </c>
    </row>
    <row r="362" customFormat="false" ht="15" hidden="false" customHeight="false" outlineLevel="0" collapsed="false">
      <c r="A362" s="2" t="n">
        <v>800361</v>
      </c>
      <c r="B362" s="2" t="s">
        <v>198</v>
      </c>
      <c r="C362" s="2" t="s">
        <v>21</v>
      </c>
      <c r="D362" s="2" t="s">
        <v>116</v>
      </c>
      <c r="E362" s="2" t="s">
        <v>309</v>
      </c>
      <c r="F362" s="2" t="s">
        <v>24</v>
      </c>
      <c r="G362" s="2" t="s">
        <v>52</v>
      </c>
      <c r="H362" s="2" t="s">
        <v>26</v>
      </c>
      <c r="I362" s="2" t="s">
        <v>44</v>
      </c>
      <c r="J362" s="2" t="s">
        <v>45</v>
      </c>
      <c r="K362" s="2" t="s">
        <v>111</v>
      </c>
      <c r="L362" s="2" t="s">
        <v>99</v>
      </c>
      <c r="M362" s="2" t="n">
        <v>41</v>
      </c>
      <c r="N362" s="3" t="n">
        <v>10</v>
      </c>
      <c r="O362" s="4" t="n">
        <v>9.44</v>
      </c>
      <c r="P362" s="5" t="n">
        <v>7.5</v>
      </c>
      <c r="Q362" s="2" t="n">
        <v>1</v>
      </c>
      <c r="R362" s="4" t="n">
        <f aca="false">M362*O362</f>
        <v>387.04</v>
      </c>
      <c r="S362" s="4" t="n">
        <f aca="false">R362*(P362/100)</f>
        <v>29.028</v>
      </c>
      <c r="T362" s="4" t="n">
        <f aca="false">R362-S362</f>
        <v>358.012</v>
      </c>
    </row>
    <row r="363" customFormat="false" ht="15" hidden="false" customHeight="false" outlineLevel="0" collapsed="false">
      <c r="A363" s="2" t="n">
        <v>800362</v>
      </c>
      <c r="B363" s="2" t="s">
        <v>367</v>
      </c>
      <c r="C363" s="2" t="s">
        <v>41</v>
      </c>
      <c r="D363" s="2" t="s">
        <v>73</v>
      </c>
      <c r="E363" s="2" t="s">
        <v>136</v>
      </c>
      <c r="F363" s="2" t="s">
        <v>87</v>
      </c>
      <c r="G363" s="2" t="s">
        <v>52</v>
      </c>
      <c r="H363" s="2" t="s">
        <v>26</v>
      </c>
      <c r="I363" s="2" t="s">
        <v>37</v>
      </c>
      <c r="J363" s="2" t="s">
        <v>38</v>
      </c>
      <c r="K363" s="2" t="s">
        <v>39</v>
      </c>
      <c r="L363" s="2" t="s">
        <v>107</v>
      </c>
      <c r="M363" s="2" t="n">
        <v>316</v>
      </c>
      <c r="N363" s="3" t="n">
        <v>30</v>
      </c>
      <c r="O363" s="4" t="n">
        <v>27.79</v>
      </c>
      <c r="P363" s="5" t="n">
        <v>0</v>
      </c>
      <c r="Q363" s="2" t="n">
        <v>1</v>
      </c>
      <c r="R363" s="4" t="n">
        <f aca="false">M363*O363</f>
        <v>8781.64</v>
      </c>
      <c r="S363" s="4" t="n">
        <f aca="false">R363*(P363/100)</f>
        <v>0</v>
      </c>
      <c r="T363" s="4" t="n">
        <f aca="false">R363-S363</f>
        <v>8781.64</v>
      </c>
    </row>
    <row r="364" customFormat="false" ht="15" hidden="false" customHeight="false" outlineLevel="0" collapsed="false">
      <c r="A364" s="2" t="n">
        <v>800363</v>
      </c>
      <c r="B364" s="2" t="s">
        <v>207</v>
      </c>
      <c r="C364" s="2" t="s">
        <v>41</v>
      </c>
      <c r="D364" s="2" t="s">
        <v>42</v>
      </c>
      <c r="E364" s="2" t="s">
        <v>179</v>
      </c>
      <c r="F364" s="2" t="s">
        <v>78</v>
      </c>
      <c r="G364" s="2" t="s">
        <v>90</v>
      </c>
      <c r="H364" s="2" t="s">
        <v>26</v>
      </c>
      <c r="I364" s="2" t="s">
        <v>44</v>
      </c>
      <c r="J364" s="2" t="s">
        <v>45</v>
      </c>
      <c r="K364" s="2" t="s">
        <v>111</v>
      </c>
      <c r="L364" s="2" t="s">
        <v>99</v>
      </c>
      <c r="M364" s="2" t="n">
        <v>284</v>
      </c>
      <c r="N364" s="3" t="n">
        <v>10</v>
      </c>
      <c r="O364" s="4" t="n">
        <v>9.07</v>
      </c>
      <c r="P364" s="5" t="n">
        <v>7.5</v>
      </c>
      <c r="Q364" s="2" t="n">
        <v>2</v>
      </c>
      <c r="R364" s="4" t="n">
        <f aca="false">M364*O364</f>
        <v>2575.88</v>
      </c>
      <c r="S364" s="4" t="n">
        <f aca="false">R364*(P364/100)</f>
        <v>193.191</v>
      </c>
      <c r="T364" s="4" t="n">
        <f aca="false">R364-S364</f>
        <v>2382.689</v>
      </c>
    </row>
    <row r="365" customFormat="false" ht="15" hidden="false" customHeight="false" outlineLevel="0" collapsed="false">
      <c r="A365" s="2" t="n">
        <v>800364</v>
      </c>
      <c r="B365" s="2" t="s">
        <v>361</v>
      </c>
      <c r="C365" s="2" t="s">
        <v>21</v>
      </c>
      <c r="D365" s="2" t="s">
        <v>171</v>
      </c>
      <c r="E365" s="2" t="s">
        <v>172</v>
      </c>
      <c r="F365" s="2" t="s">
        <v>51</v>
      </c>
      <c r="G365" s="2" t="s">
        <v>106</v>
      </c>
      <c r="H365" s="2" t="s">
        <v>26</v>
      </c>
      <c r="I365" s="2" t="s">
        <v>27</v>
      </c>
      <c r="J365" s="2" t="s">
        <v>28</v>
      </c>
      <c r="K365" s="2" t="s">
        <v>29</v>
      </c>
      <c r="L365" s="2" t="s">
        <v>30</v>
      </c>
      <c r="M365" s="2" t="n">
        <v>349</v>
      </c>
      <c r="N365" s="3" t="n">
        <v>30</v>
      </c>
      <c r="O365" s="4" t="n">
        <v>26.68</v>
      </c>
      <c r="P365" s="5" t="n">
        <v>0</v>
      </c>
      <c r="Q365" s="2" t="n">
        <v>0</v>
      </c>
      <c r="R365" s="4" t="n">
        <f aca="false">M365*O365</f>
        <v>9311.32</v>
      </c>
      <c r="S365" s="4" t="n">
        <f aca="false">R365*(P365/100)</f>
        <v>0</v>
      </c>
      <c r="T365" s="4" t="n">
        <f aca="false">R365-S365</f>
        <v>9311.32</v>
      </c>
    </row>
    <row r="366" customFormat="false" ht="15" hidden="false" customHeight="false" outlineLevel="0" collapsed="false">
      <c r="A366" s="2" t="n">
        <v>800365</v>
      </c>
      <c r="B366" s="2" t="s">
        <v>368</v>
      </c>
      <c r="C366" s="2" t="s">
        <v>84</v>
      </c>
      <c r="D366" s="2" t="s">
        <v>128</v>
      </c>
      <c r="E366" s="2" t="s">
        <v>129</v>
      </c>
      <c r="F366" s="2" t="s">
        <v>51</v>
      </c>
      <c r="G366" s="2" t="s">
        <v>137</v>
      </c>
      <c r="H366" s="2" t="s">
        <v>26</v>
      </c>
      <c r="I366" s="2" t="s">
        <v>69</v>
      </c>
      <c r="J366" s="2" t="s">
        <v>114</v>
      </c>
      <c r="K366" s="2" t="s">
        <v>29</v>
      </c>
      <c r="L366" s="2" t="s">
        <v>60</v>
      </c>
      <c r="M366" s="2" t="n">
        <v>265</v>
      </c>
      <c r="N366" s="3" t="n">
        <v>20</v>
      </c>
      <c r="O366" s="4" t="n">
        <v>17.59</v>
      </c>
      <c r="P366" s="5" t="n">
        <v>0</v>
      </c>
      <c r="Q366" s="2" t="n">
        <v>1</v>
      </c>
      <c r="R366" s="4" t="n">
        <f aca="false">M366*O366</f>
        <v>4661.35</v>
      </c>
      <c r="S366" s="4" t="n">
        <f aca="false">R366*(P366/100)</f>
        <v>0</v>
      </c>
      <c r="T366" s="4" t="n">
        <f aca="false">R366-S366</f>
        <v>4661.35</v>
      </c>
    </row>
    <row r="367" customFormat="false" ht="15" hidden="false" customHeight="false" outlineLevel="0" collapsed="false">
      <c r="A367" s="2" t="n">
        <v>800366</v>
      </c>
      <c r="B367" s="2" t="s">
        <v>168</v>
      </c>
      <c r="C367" s="2" t="s">
        <v>32</v>
      </c>
      <c r="D367" s="2" t="s">
        <v>66</v>
      </c>
      <c r="E367" s="2" t="s">
        <v>113</v>
      </c>
      <c r="F367" s="2" t="s">
        <v>35</v>
      </c>
      <c r="G367" s="2" t="s">
        <v>143</v>
      </c>
      <c r="H367" s="2" t="s">
        <v>26</v>
      </c>
      <c r="I367" s="2" t="s">
        <v>27</v>
      </c>
      <c r="J367" s="2" t="s">
        <v>28</v>
      </c>
      <c r="K367" s="2" t="s">
        <v>63</v>
      </c>
      <c r="L367" s="2" t="s">
        <v>30</v>
      </c>
      <c r="M367" s="2" t="n">
        <v>40</v>
      </c>
      <c r="N367" s="3" t="n">
        <v>50</v>
      </c>
      <c r="O367" s="4" t="n">
        <v>48.74</v>
      </c>
      <c r="P367" s="5" t="n">
        <v>0</v>
      </c>
      <c r="Q367" s="2" t="n">
        <v>0</v>
      </c>
      <c r="R367" s="4" t="n">
        <f aca="false">M367*O367</f>
        <v>1949.6</v>
      </c>
      <c r="S367" s="4" t="n">
        <f aca="false">R367*(P367/100)</f>
        <v>0</v>
      </c>
      <c r="T367" s="4" t="n">
        <f aca="false">R367-S367</f>
        <v>1949.6</v>
      </c>
    </row>
    <row r="368" customFormat="false" ht="15" hidden="false" customHeight="false" outlineLevel="0" collapsed="false">
      <c r="A368" s="2" t="n">
        <v>800367</v>
      </c>
      <c r="B368" s="2" t="s">
        <v>203</v>
      </c>
      <c r="C368" s="2" t="s">
        <v>84</v>
      </c>
      <c r="D368" s="2" t="s">
        <v>85</v>
      </c>
      <c r="E368" s="2" t="s">
        <v>124</v>
      </c>
      <c r="F368" s="2" t="s">
        <v>35</v>
      </c>
      <c r="G368" s="2" t="s">
        <v>143</v>
      </c>
      <c r="H368" s="2" t="s">
        <v>26</v>
      </c>
      <c r="I368" s="2" t="s">
        <v>69</v>
      </c>
      <c r="J368" s="2" t="s">
        <v>81</v>
      </c>
      <c r="K368" s="2" t="s">
        <v>39</v>
      </c>
      <c r="L368" s="2" t="s">
        <v>47</v>
      </c>
      <c r="M368" s="2" t="n">
        <v>130</v>
      </c>
      <c r="N368" s="3" t="n">
        <v>20</v>
      </c>
      <c r="O368" s="4" t="n">
        <v>18.26</v>
      </c>
      <c r="P368" s="5" t="n">
        <v>12.5</v>
      </c>
      <c r="Q368" s="2" t="n">
        <v>2</v>
      </c>
      <c r="R368" s="4" t="n">
        <f aca="false">M368*O368</f>
        <v>2373.8</v>
      </c>
      <c r="S368" s="4" t="n">
        <f aca="false">R368*(P368/100)</f>
        <v>296.725</v>
      </c>
      <c r="T368" s="4" t="n">
        <f aca="false">R368-S368</f>
        <v>2077.075</v>
      </c>
    </row>
    <row r="369" customFormat="false" ht="15" hidden="false" customHeight="false" outlineLevel="0" collapsed="false">
      <c r="A369" s="2" t="n">
        <v>800368</v>
      </c>
      <c r="B369" s="2" t="s">
        <v>369</v>
      </c>
      <c r="C369" s="2" t="s">
        <v>32</v>
      </c>
      <c r="D369" s="2" t="s">
        <v>151</v>
      </c>
      <c r="E369" s="2" t="s">
        <v>158</v>
      </c>
      <c r="F369" s="2" t="s">
        <v>35</v>
      </c>
      <c r="G369" s="2" t="s">
        <v>106</v>
      </c>
      <c r="H369" s="2" t="s">
        <v>26</v>
      </c>
      <c r="I369" s="2" t="s">
        <v>37</v>
      </c>
      <c r="J369" s="2" t="s">
        <v>38</v>
      </c>
      <c r="K369" s="2" t="s">
        <v>39</v>
      </c>
      <c r="L369" s="2" t="s">
        <v>64</v>
      </c>
      <c r="M369" s="2" t="n">
        <v>390</v>
      </c>
      <c r="N369" s="3" t="n">
        <v>30</v>
      </c>
      <c r="O369" s="4" t="n">
        <v>28.38</v>
      </c>
      <c r="P369" s="5" t="n">
        <v>12.5</v>
      </c>
      <c r="Q369" s="2" t="n">
        <v>0</v>
      </c>
      <c r="R369" s="4" t="n">
        <f aca="false">M369*O369</f>
        <v>11068.2</v>
      </c>
      <c r="S369" s="4" t="n">
        <f aca="false">R369*(P369/100)</f>
        <v>1383.525</v>
      </c>
      <c r="T369" s="4" t="n">
        <f aca="false">R369-S369</f>
        <v>9684.675</v>
      </c>
    </row>
    <row r="370" customFormat="false" ht="15" hidden="false" customHeight="false" outlineLevel="0" collapsed="false">
      <c r="A370" s="2" t="n">
        <v>800369</v>
      </c>
      <c r="B370" s="2" t="s">
        <v>88</v>
      </c>
      <c r="C370" s="2" t="s">
        <v>41</v>
      </c>
      <c r="D370" s="2" t="s">
        <v>42</v>
      </c>
      <c r="E370" s="2" t="s">
        <v>131</v>
      </c>
      <c r="F370" s="2" t="s">
        <v>78</v>
      </c>
      <c r="G370" s="2" t="s">
        <v>36</v>
      </c>
      <c r="H370" s="2" t="s">
        <v>26</v>
      </c>
      <c r="I370" s="2" t="s">
        <v>27</v>
      </c>
      <c r="J370" s="2" t="s">
        <v>98</v>
      </c>
      <c r="K370" s="2" t="s">
        <v>46</v>
      </c>
      <c r="L370" s="2" t="s">
        <v>64</v>
      </c>
      <c r="M370" s="2" t="n">
        <v>330</v>
      </c>
      <c r="N370" s="3" t="n">
        <v>99</v>
      </c>
      <c r="O370" s="4" t="n">
        <v>85.48</v>
      </c>
      <c r="P370" s="5" t="n">
        <v>12.5</v>
      </c>
      <c r="Q370" s="2" t="n">
        <v>0</v>
      </c>
      <c r="R370" s="4" t="n">
        <f aca="false">M370*O370</f>
        <v>28208.4</v>
      </c>
      <c r="S370" s="4" t="n">
        <f aca="false">R370*(P370/100)</f>
        <v>3526.05</v>
      </c>
      <c r="T370" s="4" t="n">
        <f aca="false">R370-S370</f>
        <v>24682.35</v>
      </c>
    </row>
    <row r="371" customFormat="false" ht="15" hidden="false" customHeight="false" outlineLevel="0" collapsed="false">
      <c r="A371" s="2" t="n">
        <v>800370</v>
      </c>
      <c r="B371" s="2" t="s">
        <v>238</v>
      </c>
      <c r="C371" s="2" t="s">
        <v>21</v>
      </c>
      <c r="D371" s="2" t="s">
        <v>22</v>
      </c>
      <c r="E371" s="2" t="s">
        <v>23</v>
      </c>
      <c r="F371" s="2" t="s">
        <v>24</v>
      </c>
      <c r="G371" s="2" t="s">
        <v>143</v>
      </c>
      <c r="H371" s="2" t="s">
        <v>26</v>
      </c>
      <c r="I371" s="2" t="s">
        <v>37</v>
      </c>
      <c r="J371" s="2" t="s">
        <v>38</v>
      </c>
      <c r="K371" s="2" t="s">
        <v>39</v>
      </c>
      <c r="L371" s="2" t="s">
        <v>161</v>
      </c>
      <c r="M371" s="2" t="n">
        <v>287</v>
      </c>
      <c r="N371" s="3" t="n">
        <v>30</v>
      </c>
      <c r="O371" s="4" t="n">
        <v>27.27</v>
      </c>
      <c r="P371" s="5" t="n">
        <v>0</v>
      </c>
      <c r="Q371" s="2" t="n">
        <v>3</v>
      </c>
      <c r="R371" s="4" t="n">
        <f aca="false">M371*O371</f>
        <v>7826.49</v>
      </c>
      <c r="S371" s="4" t="n">
        <f aca="false">R371*(P371/100)</f>
        <v>0</v>
      </c>
      <c r="T371" s="4" t="n">
        <f aca="false">R371-S371</f>
        <v>7826.49</v>
      </c>
    </row>
    <row r="372" customFormat="false" ht="15" hidden="false" customHeight="false" outlineLevel="0" collapsed="false">
      <c r="A372" s="2" t="n">
        <v>800371</v>
      </c>
      <c r="B372" s="2" t="s">
        <v>150</v>
      </c>
      <c r="C372" s="2" t="s">
        <v>32</v>
      </c>
      <c r="D372" s="2" t="s">
        <v>151</v>
      </c>
      <c r="E372" s="2" t="s">
        <v>152</v>
      </c>
      <c r="F372" s="2" t="s">
        <v>87</v>
      </c>
      <c r="G372" s="2" t="s">
        <v>143</v>
      </c>
      <c r="H372" s="2" t="s">
        <v>26</v>
      </c>
      <c r="I372" s="2" t="s">
        <v>37</v>
      </c>
      <c r="J372" s="2" t="s">
        <v>38</v>
      </c>
      <c r="K372" s="2" t="s">
        <v>39</v>
      </c>
      <c r="L372" s="2" t="s">
        <v>161</v>
      </c>
      <c r="M372" s="2" t="n">
        <v>88</v>
      </c>
      <c r="N372" s="3" t="n">
        <v>30</v>
      </c>
      <c r="O372" s="4" t="n">
        <v>26.57</v>
      </c>
      <c r="P372" s="5" t="n">
        <v>2</v>
      </c>
      <c r="Q372" s="2" t="n">
        <v>0</v>
      </c>
      <c r="R372" s="4" t="n">
        <f aca="false">M372*O372</f>
        <v>2338.16</v>
      </c>
      <c r="S372" s="4" t="n">
        <f aca="false">R372*(P372/100)</f>
        <v>46.7632</v>
      </c>
      <c r="T372" s="4" t="n">
        <f aca="false">R372-S372</f>
        <v>2291.3968</v>
      </c>
    </row>
    <row r="373" customFormat="false" ht="15" hidden="false" customHeight="false" outlineLevel="0" collapsed="false">
      <c r="A373" s="2" t="n">
        <v>800372</v>
      </c>
      <c r="B373" s="2" t="s">
        <v>351</v>
      </c>
      <c r="C373" s="2" t="s">
        <v>41</v>
      </c>
      <c r="D373" s="2" t="s">
        <v>42</v>
      </c>
      <c r="E373" s="2" t="s">
        <v>131</v>
      </c>
      <c r="F373" s="2" t="s">
        <v>78</v>
      </c>
      <c r="G373" s="2" t="s">
        <v>125</v>
      </c>
      <c r="H373" s="2" t="s">
        <v>26</v>
      </c>
      <c r="I373" s="2" t="s">
        <v>69</v>
      </c>
      <c r="J373" s="2" t="s">
        <v>134</v>
      </c>
      <c r="K373" s="2" t="s">
        <v>71</v>
      </c>
      <c r="L373" s="2" t="s">
        <v>30</v>
      </c>
      <c r="M373" s="2" t="n">
        <v>23</v>
      </c>
      <c r="N373" s="3" t="n">
        <v>40</v>
      </c>
      <c r="O373" s="4" t="n">
        <v>36.1</v>
      </c>
      <c r="P373" s="5" t="n">
        <v>2</v>
      </c>
      <c r="Q373" s="2" t="n">
        <v>1</v>
      </c>
      <c r="R373" s="4" t="n">
        <f aca="false">M373*O373</f>
        <v>830.3</v>
      </c>
      <c r="S373" s="4" t="n">
        <f aca="false">R373*(P373/100)</f>
        <v>16.606</v>
      </c>
      <c r="T373" s="4" t="n">
        <f aca="false">R373-S373</f>
        <v>813.694</v>
      </c>
    </row>
    <row r="374" customFormat="false" ht="15" hidden="false" customHeight="false" outlineLevel="0" collapsed="false">
      <c r="A374" s="2" t="n">
        <v>800373</v>
      </c>
      <c r="B374" s="2" t="s">
        <v>312</v>
      </c>
      <c r="C374" s="2" t="s">
        <v>84</v>
      </c>
      <c r="D374" s="2" t="s">
        <v>128</v>
      </c>
      <c r="E374" s="2" t="s">
        <v>129</v>
      </c>
      <c r="F374" s="2" t="s">
        <v>51</v>
      </c>
      <c r="G374" s="2" t="s">
        <v>62</v>
      </c>
      <c r="H374" s="2" t="s">
        <v>26</v>
      </c>
      <c r="I374" s="2" t="s">
        <v>37</v>
      </c>
      <c r="J374" s="2" t="s">
        <v>38</v>
      </c>
      <c r="K374" s="2" t="s">
        <v>39</v>
      </c>
      <c r="L374" s="2" t="s">
        <v>107</v>
      </c>
      <c r="M374" s="2" t="n">
        <v>457</v>
      </c>
      <c r="N374" s="3" t="n">
        <v>30</v>
      </c>
      <c r="O374" s="4" t="n">
        <v>27.75</v>
      </c>
      <c r="P374" s="5" t="n">
        <v>7.5</v>
      </c>
      <c r="Q374" s="2" t="n">
        <v>0</v>
      </c>
      <c r="R374" s="4" t="n">
        <f aca="false">M374*O374</f>
        <v>12681.75</v>
      </c>
      <c r="S374" s="4" t="n">
        <f aca="false">R374*(P374/100)</f>
        <v>951.13125</v>
      </c>
      <c r="T374" s="4" t="n">
        <f aca="false">R374-S374</f>
        <v>11730.61875</v>
      </c>
    </row>
    <row r="375" customFormat="false" ht="15" hidden="false" customHeight="false" outlineLevel="0" collapsed="false">
      <c r="A375" s="2" t="n">
        <v>800374</v>
      </c>
      <c r="B375" s="2" t="s">
        <v>346</v>
      </c>
      <c r="C375" s="2" t="s">
        <v>41</v>
      </c>
      <c r="D375" s="2" t="s">
        <v>73</v>
      </c>
      <c r="E375" s="2" t="s">
        <v>74</v>
      </c>
      <c r="F375" s="2" t="s">
        <v>35</v>
      </c>
      <c r="G375" s="2" t="s">
        <v>90</v>
      </c>
      <c r="H375" s="2" t="s">
        <v>26</v>
      </c>
      <c r="I375" s="2" t="s">
        <v>57</v>
      </c>
      <c r="J375" s="2" t="s">
        <v>104</v>
      </c>
      <c r="K375" s="2" t="s">
        <v>59</v>
      </c>
      <c r="L375" s="2" t="s">
        <v>82</v>
      </c>
      <c r="M375" s="2" t="n">
        <v>306</v>
      </c>
      <c r="N375" s="3" t="n">
        <v>25</v>
      </c>
      <c r="O375" s="4" t="n">
        <v>23.19</v>
      </c>
      <c r="P375" s="5" t="n">
        <v>5</v>
      </c>
      <c r="Q375" s="2" t="n">
        <v>0</v>
      </c>
      <c r="R375" s="4" t="n">
        <f aca="false">M375*O375</f>
        <v>7096.14</v>
      </c>
      <c r="S375" s="4" t="n">
        <f aca="false">R375*(P375/100)</f>
        <v>354.807</v>
      </c>
      <c r="T375" s="4" t="n">
        <f aca="false">R375-S375</f>
        <v>6741.333</v>
      </c>
    </row>
    <row r="376" customFormat="false" ht="15" hidden="false" customHeight="false" outlineLevel="0" collapsed="false">
      <c r="A376" s="2" t="n">
        <v>800375</v>
      </c>
      <c r="B376" s="2" t="s">
        <v>105</v>
      </c>
      <c r="C376" s="2" t="s">
        <v>84</v>
      </c>
      <c r="D376" s="2" t="s">
        <v>164</v>
      </c>
      <c r="E376" s="2" t="s">
        <v>211</v>
      </c>
      <c r="F376" s="2" t="s">
        <v>78</v>
      </c>
      <c r="G376" s="2" t="s">
        <v>125</v>
      </c>
      <c r="H376" s="2" t="s">
        <v>26</v>
      </c>
      <c r="I376" s="2" t="s">
        <v>27</v>
      </c>
      <c r="J376" s="2" t="s">
        <v>98</v>
      </c>
      <c r="K376" s="2" t="s">
        <v>46</v>
      </c>
      <c r="L376" s="2" t="s">
        <v>64</v>
      </c>
      <c r="M376" s="2" t="n">
        <v>71</v>
      </c>
      <c r="N376" s="3" t="n">
        <v>99</v>
      </c>
      <c r="O376" s="4" t="n">
        <v>87.12</v>
      </c>
      <c r="P376" s="5" t="n">
        <v>10</v>
      </c>
      <c r="Q376" s="2" t="n">
        <v>1</v>
      </c>
      <c r="R376" s="4" t="n">
        <f aca="false">M376*O376</f>
        <v>6185.52</v>
      </c>
      <c r="S376" s="4" t="n">
        <f aca="false">R376*(P376/100)</f>
        <v>618.552</v>
      </c>
      <c r="T376" s="4" t="n">
        <f aca="false">R376-S376</f>
        <v>5566.968</v>
      </c>
    </row>
    <row r="377" customFormat="false" ht="15" hidden="false" customHeight="false" outlineLevel="0" collapsed="false">
      <c r="A377" s="2" t="n">
        <v>800376</v>
      </c>
      <c r="B377" s="2" t="s">
        <v>121</v>
      </c>
      <c r="C377" s="2" t="s">
        <v>21</v>
      </c>
      <c r="D377" s="2" t="s">
        <v>116</v>
      </c>
      <c r="E377" s="2" t="s">
        <v>309</v>
      </c>
      <c r="F377" s="2" t="s">
        <v>78</v>
      </c>
      <c r="G377" s="2" t="s">
        <v>52</v>
      </c>
      <c r="H377" s="2" t="s">
        <v>26</v>
      </c>
      <c r="I377" s="2" t="s">
        <v>27</v>
      </c>
      <c r="J377" s="2" t="s">
        <v>98</v>
      </c>
      <c r="K377" s="2" t="s">
        <v>46</v>
      </c>
      <c r="L377" s="2" t="s">
        <v>53</v>
      </c>
      <c r="M377" s="2" t="n">
        <v>242</v>
      </c>
      <c r="N377" s="3" t="n">
        <v>99</v>
      </c>
      <c r="O377" s="4" t="n">
        <v>85.37</v>
      </c>
      <c r="P377" s="5" t="n">
        <v>5</v>
      </c>
      <c r="Q377" s="2" t="n">
        <v>0</v>
      </c>
      <c r="R377" s="4" t="n">
        <f aca="false">M377*O377</f>
        <v>20659.54</v>
      </c>
      <c r="S377" s="4" t="n">
        <f aca="false">R377*(P377/100)</f>
        <v>1032.977</v>
      </c>
      <c r="T377" s="4" t="n">
        <f aca="false">R377-S377</f>
        <v>19626.563</v>
      </c>
    </row>
    <row r="378" customFormat="false" ht="15" hidden="false" customHeight="false" outlineLevel="0" collapsed="false">
      <c r="A378" s="2" t="n">
        <v>800377</v>
      </c>
      <c r="B378" s="2" t="s">
        <v>370</v>
      </c>
      <c r="C378" s="2" t="s">
        <v>21</v>
      </c>
      <c r="D378" s="2" t="s">
        <v>171</v>
      </c>
      <c r="E378" s="2" t="s">
        <v>172</v>
      </c>
      <c r="F378" s="2" t="s">
        <v>51</v>
      </c>
      <c r="G378" s="2" t="s">
        <v>103</v>
      </c>
      <c r="H378" s="2" t="s">
        <v>26</v>
      </c>
      <c r="I378" s="2" t="s">
        <v>37</v>
      </c>
      <c r="J378" s="2" t="s">
        <v>38</v>
      </c>
      <c r="K378" s="2" t="s">
        <v>39</v>
      </c>
      <c r="L378" s="2" t="s">
        <v>53</v>
      </c>
      <c r="M378" s="2" t="n">
        <v>49</v>
      </c>
      <c r="N378" s="3" t="n">
        <v>30</v>
      </c>
      <c r="O378" s="4" t="n">
        <v>29.47</v>
      </c>
      <c r="P378" s="5" t="n">
        <v>0</v>
      </c>
      <c r="Q378" s="2" t="n">
        <v>2</v>
      </c>
      <c r="R378" s="4" t="n">
        <f aca="false">M378*O378</f>
        <v>1444.03</v>
      </c>
      <c r="S378" s="4" t="n">
        <f aca="false">R378*(P378/100)</f>
        <v>0</v>
      </c>
      <c r="T378" s="4" t="n">
        <f aca="false">R378-S378</f>
        <v>1444.03</v>
      </c>
    </row>
    <row r="379" customFormat="false" ht="15" hidden="false" customHeight="false" outlineLevel="0" collapsed="false">
      <c r="A379" s="2" t="n">
        <v>800378</v>
      </c>
      <c r="B379" s="2" t="s">
        <v>344</v>
      </c>
      <c r="C379" s="2" t="s">
        <v>21</v>
      </c>
      <c r="D379" s="2" t="s">
        <v>116</v>
      </c>
      <c r="E379" s="2" t="s">
        <v>170</v>
      </c>
      <c r="F379" s="2" t="s">
        <v>24</v>
      </c>
      <c r="G379" s="2" t="s">
        <v>36</v>
      </c>
      <c r="H379" s="2" t="s">
        <v>26</v>
      </c>
      <c r="I379" s="2" t="s">
        <v>37</v>
      </c>
      <c r="J379" s="2" t="s">
        <v>38</v>
      </c>
      <c r="K379" s="2" t="s">
        <v>39</v>
      </c>
      <c r="L379" s="2" t="s">
        <v>53</v>
      </c>
      <c r="M379" s="2" t="n">
        <v>106</v>
      </c>
      <c r="N379" s="3" t="n">
        <v>30</v>
      </c>
      <c r="O379" s="4" t="n">
        <v>28.33</v>
      </c>
      <c r="P379" s="5" t="n">
        <v>7.5</v>
      </c>
      <c r="Q379" s="2" t="n">
        <v>0</v>
      </c>
      <c r="R379" s="4" t="n">
        <f aca="false">M379*O379</f>
        <v>3002.98</v>
      </c>
      <c r="S379" s="4" t="n">
        <f aca="false">R379*(P379/100)</f>
        <v>225.2235</v>
      </c>
      <c r="T379" s="4" t="n">
        <f aca="false">R379-S379</f>
        <v>2777.7565</v>
      </c>
    </row>
    <row r="380" customFormat="false" ht="15" hidden="false" customHeight="false" outlineLevel="0" collapsed="false">
      <c r="A380" s="2" t="n">
        <v>800379</v>
      </c>
      <c r="B380" s="2" t="s">
        <v>206</v>
      </c>
      <c r="C380" s="2" t="s">
        <v>21</v>
      </c>
      <c r="D380" s="2" t="s">
        <v>116</v>
      </c>
      <c r="E380" s="2" t="s">
        <v>117</v>
      </c>
      <c r="F380" s="2" t="s">
        <v>87</v>
      </c>
      <c r="G380" s="2" t="s">
        <v>103</v>
      </c>
      <c r="H380" s="2" t="s">
        <v>26</v>
      </c>
      <c r="I380" s="2" t="s">
        <v>44</v>
      </c>
      <c r="J380" s="2" t="s">
        <v>126</v>
      </c>
      <c r="K380" s="2" t="s">
        <v>71</v>
      </c>
      <c r="L380" s="2" t="s">
        <v>161</v>
      </c>
      <c r="M380" s="2" t="n">
        <v>227</v>
      </c>
      <c r="N380" s="3" t="n">
        <v>20</v>
      </c>
      <c r="O380" s="4" t="n">
        <v>18.64</v>
      </c>
      <c r="P380" s="5" t="n">
        <v>0</v>
      </c>
      <c r="Q380" s="2" t="n">
        <v>0</v>
      </c>
      <c r="R380" s="4" t="n">
        <f aca="false">M380*O380</f>
        <v>4231.28</v>
      </c>
      <c r="S380" s="4" t="n">
        <f aca="false">R380*(P380/100)</f>
        <v>0</v>
      </c>
      <c r="T380" s="4" t="n">
        <f aca="false">R380-S380</f>
        <v>4231.28</v>
      </c>
    </row>
    <row r="381" customFormat="false" ht="15" hidden="false" customHeight="false" outlineLevel="0" collapsed="false">
      <c r="A381" s="2" t="n">
        <v>800380</v>
      </c>
      <c r="B381" s="2" t="s">
        <v>322</v>
      </c>
      <c r="C381" s="2" t="s">
        <v>84</v>
      </c>
      <c r="D381" s="2" t="s">
        <v>119</v>
      </c>
      <c r="E381" s="2" t="s">
        <v>201</v>
      </c>
      <c r="F381" s="2" t="s">
        <v>87</v>
      </c>
      <c r="G381" s="2" t="s">
        <v>25</v>
      </c>
      <c r="H381" s="2" t="s">
        <v>26</v>
      </c>
      <c r="I381" s="2" t="s">
        <v>37</v>
      </c>
      <c r="J381" s="2" t="s">
        <v>38</v>
      </c>
      <c r="K381" s="2" t="s">
        <v>39</v>
      </c>
      <c r="L381" s="2" t="s">
        <v>60</v>
      </c>
      <c r="M381" s="2" t="n">
        <v>496</v>
      </c>
      <c r="N381" s="3" t="n">
        <v>30</v>
      </c>
      <c r="O381" s="4" t="n">
        <v>27.2</v>
      </c>
      <c r="P381" s="5" t="n">
        <v>0</v>
      </c>
      <c r="Q381" s="2" t="n">
        <v>0</v>
      </c>
      <c r="R381" s="4" t="n">
        <f aca="false">M381*O381</f>
        <v>13491.2</v>
      </c>
      <c r="S381" s="4" t="n">
        <f aca="false">R381*(P381/100)</f>
        <v>0</v>
      </c>
      <c r="T381" s="4" t="n">
        <f aca="false">R381-S381</f>
        <v>13491.2</v>
      </c>
    </row>
    <row r="382" customFormat="false" ht="15" hidden="false" customHeight="false" outlineLevel="0" collapsed="false">
      <c r="A382" s="2" t="n">
        <v>800381</v>
      </c>
      <c r="B382" s="2" t="s">
        <v>371</v>
      </c>
      <c r="C382" s="2" t="s">
        <v>41</v>
      </c>
      <c r="D382" s="2" t="s">
        <v>49</v>
      </c>
      <c r="E382" s="2" t="s">
        <v>50</v>
      </c>
      <c r="F382" s="2" t="s">
        <v>35</v>
      </c>
      <c r="G382" s="2" t="s">
        <v>52</v>
      </c>
      <c r="H382" s="2" t="s">
        <v>26</v>
      </c>
      <c r="I382" s="2" t="s">
        <v>37</v>
      </c>
      <c r="J382" s="2" t="s">
        <v>38</v>
      </c>
      <c r="K382" s="2" t="s">
        <v>39</v>
      </c>
      <c r="L382" s="2" t="s">
        <v>82</v>
      </c>
      <c r="M382" s="2" t="n">
        <v>79</v>
      </c>
      <c r="N382" s="3" t="n">
        <v>30</v>
      </c>
      <c r="O382" s="4" t="n">
        <v>28.87</v>
      </c>
      <c r="P382" s="5" t="n">
        <v>5</v>
      </c>
      <c r="Q382" s="2" t="n">
        <v>3</v>
      </c>
      <c r="R382" s="4" t="n">
        <f aca="false">M382*O382</f>
        <v>2280.73</v>
      </c>
      <c r="S382" s="4" t="n">
        <f aca="false">R382*(P382/100)</f>
        <v>114.0365</v>
      </c>
      <c r="T382" s="4" t="n">
        <f aca="false">R382-S382</f>
        <v>2166.6935</v>
      </c>
    </row>
    <row r="383" customFormat="false" ht="15" hidden="false" customHeight="false" outlineLevel="0" collapsed="false">
      <c r="A383" s="2" t="n">
        <v>800382</v>
      </c>
      <c r="B383" s="2" t="s">
        <v>372</v>
      </c>
      <c r="C383" s="2" t="s">
        <v>84</v>
      </c>
      <c r="D383" s="2" t="s">
        <v>164</v>
      </c>
      <c r="E383" s="2" t="s">
        <v>165</v>
      </c>
      <c r="F383" s="2" t="s">
        <v>35</v>
      </c>
      <c r="G383" s="2" t="s">
        <v>94</v>
      </c>
      <c r="H383" s="2" t="s">
        <v>26</v>
      </c>
      <c r="I383" s="2" t="s">
        <v>27</v>
      </c>
      <c r="J383" s="2" t="s">
        <v>91</v>
      </c>
      <c r="K383" s="2" t="s">
        <v>29</v>
      </c>
      <c r="L383" s="2" t="s">
        <v>60</v>
      </c>
      <c r="M383" s="2" t="n">
        <v>368</v>
      </c>
      <c r="N383" s="3" t="n">
        <v>35</v>
      </c>
      <c r="O383" s="4" t="n">
        <v>32.01</v>
      </c>
      <c r="P383" s="5" t="n">
        <v>0</v>
      </c>
      <c r="Q383" s="2" t="n">
        <v>2</v>
      </c>
      <c r="R383" s="4" t="n">
        <f aca="false">M383*O383</f>
        <v>11779.68</v>
      </c>
      <c r="S383" s="4" t="n">
        <f aca="false">R383*(P383/100)</f>
        <v>0</v>
      </c>
      <c r="T383" s="4" t="n">
        <f aca="false">R383-S383</f>
        <v>11779.68</v>
      </c>
    </row>
    <row r="384" customFormat="false" ht="15" hidden="false" customHeight="false" outlineLevel="0" collapsed="false">
      <c r="A384" s="2" t="n">
        <v>800383</v>
      </c>
      <c r="B384" s="2" t="s">
        <v>100</v>
      </c>
      <c r="C384" s="2" t="s">
        <v>84</v>
      </c>
      <c r="D384" s="2" t="s">
        <v>128</v>
      </c>
      <c r="E384" s="2" t="s">
        <v>199</v>
      </c>
      <c r="F384" s="2" t="s">
        <v>24</v>
      </c>
      <c r="G384" s="2" t="s">
        <v>62</v>
      </c>
      <c r="H384" s="2" t="s">
        <v>26</v>
      </c>
      <c r="I384" s="2" t="s">
        <v>27</v>
      </c>
      <c r="J384" s="2" t="s">
        <v>91</v>
      </c>
      <c r="K384" s="2" t="s">
        <v>29</v>
      </c>
      <c r="L384" s="2" t="s">
        <v>161</v>
      </c>
      <c r="M384" s="2" t="n">
        <v>200</v>
      </c>
      <c r="N384" s="3" t="n">
        <v>35</v>
      </c>
      <c r="O384" s="4" t="n">
        <v>32.28</v>
      </c>
      <c r="P384" s="5" t="n">
        <v>0</v>
      </c>
      <c r="Q384" s="2" t="n">
        <v>0</v>
      </c>
      <c r="R384" s="4" t="n">
        <f aca="false">M384*O384</f>
        <v>6456</v>
      </c>
      <c r="S384" s="4" t="n">
        <f aca="false">R384*(P384/100)</f>
        <v>0</v>
      </c>
      <c r="T384" s="4" t="n">
        <f aca="false">R384-S384</f>
        <v>6456</v>
      </c>
    </row>
    <row r="385" customFormat="false" ht="15" hidden="false" customHeight="false" outlineLevel="0" collapsed="false">
      <c r="A385" s="2" t="n">
        <v>800384</v>
      </c>
      <c r="B385" s="2" t="s">
        <v>310</v>
      </c>
      <c r="C385" s="2" t="s">
        <v>84</v>
      </c>
      <c r="D385" s="2" t="s">
        <v>128</v>
      </c>
      <c r="E385" s="2" t="s">
        <v>199</v>
      </c>
      <c r="F385" s="2" t="s">
        <v>87</v>
      </c>
      <c r="G385" s="2" t="s">
        <v>52</v>
      </c>
      <c r="H385" s="2" t="s">
        <v>26</v>
      </c>
      <c r="I385" s="2" t="s">
        <v>37</v>
      </c>
      <c r="J385" s="2" t="s">
        <v>38</v>
      </c>
      <c r="K385" s="2" t="s">
        <v>39</v>
      </c>
      <c r="L385" s="2" t="s">
        <v>60</v>
      </c>
      <c r="M385" s="2" t="n">
        <v>180</v>
      </c>
      <c r="N385" s="3" t="n">
        <v>30</v>
      </c>
      <c r="O385" s="4" t="n">
        <v>26.98</v>
      </c>
      <c r="P385" s="5" t="n">
        <v>5</v>
      </c>
      <c r="Q385" s="2" t="n">
        <v>0</v>
      </c>
      <c r="R385" s="4" t="n">
        <f aca="false">M385*O385</f>
        <v>4856.4</v>
      </c>
      <c r="S385" s="4" t="n">
        <f aca="false">R385*(P385/100)</f>
        <v>242.82</v>
      </c>
      <c r="T385" s="4" t="n">
        <f aca="false">R385-S385</f>
        <v>4613.58</v>
      </c>
    </row>
    <row r="386" customFormat="false" ht="15" hidden="false" customHeight="false" outlineLevel="0" collapsed="false">
      <c r="A386" s="2" t="n">
        <v>800385</v>
      </c>
      <c r="B386" s="2" t="s">
        <v>373</v>
      </c>
      <c r="C386" s="2" t="s">
        <v>32</v>
      </c>
      <c r="D386" s="2" t="s">
        <v>151</v>
      </c>
      <c r="E386" s="2" t="s">
        <v>158</v>
      </c>
      <c r="F386" s="2" t="s">
        <v>24</v>
      </c>
      <c r="G386" s="2" t="s">
        <v>125</v>
      </c>
      <c r="H386" s="2" t="s">
        <v>26</v>
      </c>
      <c r="I386" s="2" t="s">
        <v>27</v>
      </c>
      <c r="J386" s="2" t="s">
        <v>91</v>
      </c>
      <c r="K386" s="2" t="s">
        <v>29</v>
      </c>
      <c r="L386" s="2" t="s">
        <v>99</v>
      </c>
      <c r="M386" s="2" t="n">
        <v>137</v>
      </c>
      <c r="N386" s="3" t="n">
        <v>35</v>
      </c>
      <c r="O386" s="4" t="n">
        <v>30.74</v>
      </c>
      <c r="P386" s="5" t="n">
        <v>2</v>
      </c>
      <c r="Q386" s="2" t="n">
        <v>1</v>
      </c>
      <c r="R386" s="4" t="n">
        <f aca="false">M386*O386</f>
        <v>4211.38</v>
      </c>
      <c r="S386" s="4" t="n">
        <f aca="false">R386*(P386/100)</f>
        <v>84.2276</v>
      </c>
      <c r="T386" s="4" t="n">
        <f aca="false">R386-S386</f>
        <v>4127.1524</v>
      </c>
    </row>
    <row r="387" customFormat="false" ht="15" hidden="false" customHeight="false" outlineLevel="0" collapsed="false">
      <c r="A387" s="2" t="n">
        <v>800386</v>
      </c>
      <c r="B387" s="2" t="s">
        <v>181</v>
      </c>
      <c r="C387" s="2" t="s">
        <v>21</v>
      </c>
      <c r="D387" s="2" t="s">
        <v>22</v>
      </c>
      <c r="E387" s="2" t="s">
        <v>109</v>
      </c>
      <c r="F387" s="2" t="s">
        <v>51</v>
      </c>
      <c r="G387" s="2" t="s">
        <v>143</v>
      </c>
      <c r="H387" s="2" t="s">
        <v>26</v>
      </c>
      <c r="I387" s="2" t="s">
        <v>69</v>
      </c>
      <c r="J387" s="2" t="s">
        <v>134</v>
      </c>
      <c r="K387" s="2" t="s">
        <v>39</v>
      </c>
      <c r="L387" s="2" t="s">
        <v>60</v>
      </c>
      <c r="M387" s="2" t="n">
        <v>210</v>
      </c>
      <c r="N387" s="3" t="n">
        <v>20</v>
      </c>
      <c r="O387" s="4" t="n">
        <v>18.74</v>
      </c>
      <c r="P387" s="5" t="n">
        <v>12.5</v>
      </c>
      <c r="Q387" s="2" t="n">
        <v>0</v>
      </c>
      <c r="R387" s="4" t="n">
        <f aca="false">M387*O387</f>
        <v>3935.4</v>
      </c>
      <c r="S387" s="4" t="n">
        <f aca="false">R387*(P387/100)</f>
        <v>491.925</v>
      </c>
      <c r="T387" s="4" t="n">
        <f aca="false">R387-S387</f>
        <v>3443.475</v>
      </c>
    </row>
    <row r="388" customFormat="false" ht="15" hidden="false" customHeight="false" outlineLevel="0" collapsed="false">
      <c r="A388" s="2" t="n">
        <v>800387</v>
      </c>
      <c r="B388" s="2" t="s">
        <v>184</v>
      </c>
      <c r="C388" s="2" t="s">
        <v>32</v>
      </c>
      <c r="D388" s="2" t="s">
        <v>76</v>
      </c>
      <c r="E388" s="2" t="s">
        <v>77</v>
      </c>
      <c r="F388" s="2" t="s">
        <v>51</v>
      </c>
      <c r="G388" s="2" t="s">
        <v>25</v>
      </c>
      <c r="H388" s="2" t="s">
        <v>26</v>
      </c>
      <c r="I388" s="2" t="s">
        <v>37</v>
      </c>
      <c r="J388" s="2" t="s">
        <v>38</v>
      </c>
      <c r="K388" s="2" t="s">
        <v>39</v>
      </c>
      <c r="L388" s="2" t="s">
        <v>132</v>
      </c>
      <c r="M388" s="2" t="n">
        <v>289</v>
      </c>
      <c r="N388" s="3" t="n">
        <v>30</v>
      </c>
      <c r="O388" s="4" t="n">
        <v>28.86</v>
      </c>
      <c r="P388" s="5" t="n">
        <v>12.5</v>
      </c>
      <c r="Q388" s="2" t="n">
        <v>3</v>
      </c>
      <c r="R388" s="4" t="n">
        <f aca="false">M388*O388</f>
        <v>8340.54</v>
      </c>
      <c r="S388" s="4" t="n">
        <f aca="false">R388*(P388/100)</f>
        <v>1042.5675</v>
      </c>
      <c r="T388" s="4" t="n">
        <f aca="false">R388-S388</f>
        <v>7297.9725</v>
      </c>
    </row>
    <row r="389" customFormat="false" ht="15" hidden="false" customHeight="false" outlineLevel="0" collapsed="false">
      <c r="A389" s="2" t="n">
        <v>800388</v>
      </c>
      <c r="B389" s="2" t="s">
        <v>374</v>
      </c>
      <c r="C389" s="2" t="s">
        <v>84</v>
      </c>
      <c r="D389" s="2" t="s">
        <v>164</v>
      </c>
      <c r="E389" s="2" t="s">
        <v>211</v>
      </c>
      <c r="F389" s="2" t="s">
        <v>51</v>
      </c>
      <c r="G389" s="2" t="s">
        <v>52</v>
      </c>
      <c r="H389" s="2" t="s">
        <v>26</v>
      </c>
      <c r="I389" s="2" t="s">
        <v>37</v>
      </c>
      <c r="J389" s="2" t="s">
        <v>38</v>
      </c>
      <c r="K389" s="2" t="s">
        <v>39</v>
      </c>
      <c r="L389" s="2" t="s">
        <v>82</v>
      </c>
      <c r="M389" s="2" t="n">
        <v>372</v>
      </c>
      <c r="N389" s="3" t="n">
        <v>30</v>
      </c>
      <c r="O389" s="4" t="n">
        <v>25.54</v>
      </c>
      <c r="P389" s="5" t="n">
        <v>2</v>
      </c>
      <c r="Q389" s="2" t="n">
        <v>1</v>
      </c>
      <c r="R389" s="4" t="n">
        <f aca="false">M389*O389</f>
        <v>9500.88</v>
      </c>
      <c r="S389" s="4" t="n">
        <f aca="false">R389*(P389/100)</f>
        <v>190.0176</v>
      </c>
      <c r="T389" s="4" t="n">
        <f aca="false">R389-S389</f>
        <v>9310.8624</v>
      </c>
    </row>
    <row r="390" customFormat="false" ht="15" hidden="false" customHeight="false" outlineLevel="0" collapsed="false">
      <c r="A390" s="2" t="n">
        <v>800389</v>
      </c>
      <c r="B390" s="2" t="s">
        <v>375</v>
      </c>
      <c r="C390" s="2" t="s">
        <v>21</v>
      </c>
      <c r="D390" s="2" t="s">
        <v>147</v>
      </c>
      <c r="E390" s="2" t="s">
        <v>276</v>
      </c>
      <c r="F390" s="2" t="s">
        <v>35</v>
      </c>
      <c r="G390" s="2" t="s">
        <v>68</v>
      </c>
      <c r="H390" s="2" t="s">
        <v>26</v>
      </c>
      <c r="I390" s="2" t="s">
        <v>27</v>
      </c>
      <c r="J390" s="2" t="s">
        <v>91</v>
      </c>
      <c r="K390" s="2" t="s">
        <v>29</v>
      </c>
      <c r="L390" s="2" t="s">
        <v>99</v>
      </c>
      <c r="M390" s="2" t="n">
        <v>157</v>
      </c>
      <c r="N390" s="3" t="n">
        <v>35</v>
      </c>
      <c r="O390" s="4" t="n">
        <v>32.06</v>
      </c>
      <c r="P390" s="5" t="n">
        <v>7.5</v>
      </c>
      <c r="Q390" s="2" t="n">
        <v>1</v>
      </c>
      <c r="R390" s="4" t="n">
        <f aca="false">M390*O390</f>
        <v>5033.42</v>
      </c>
      <c r="S390" s="4" t="n">
        <f aca="false">R390*(P390/100)</f>
        <v>377.5065</v>
      </c>
      <c r="T390" s="4" t="n">
        <f aca="false">R390-S390</f>
        <v>4655.9135</v>
      </c>
    </row>
    <row r="391" customFormat="false" ht="15" hidden="false" customHeight="false" outlineLevel="0" collapsed="false">
      <c r="A391" s="2" t="n">
        <v>800390</v>
      </c>
      <c r="B391" s="2" t="s">
        <v>334</v>
      </c>
      <c r="C391" s="2" t="s">
        <v>41</v>
      </c>
      <c r="D391" s="2" t="s">
        <v>42</v>
      </c>
      <c r="E391" s="2" t="s">
        <v>131</v>
      </c>
      <c r="F391" s="2" t="s">
        <v>51</v>
      </c>
      <c r="G391" s="2" t="s">
        <v>125</v>
      </c>
      <c r="H391" s="2" t="s">
        <v>26</v>
      </c>
      <c r="I391" s="2" t="s">
        <v>44</v>
      </c>
      <c r="J391" s="2" t="s">
        <v>45</v>
      </c>
      <c r="K391" s="2" t="s">
        <v>111</v>
      </c>
      <c r="L391" s="2" t="s">
        <v>161</v>
      </c>
      <c r="M391" s="2" t="n">
        <v>163</v>
      </c>
      <c r="N391" s="3" t="n">
        <v>10</v>
      </c>
      <c r="O391" s="4" t="n">
        <v>9.13</v>
      </c>
      <c r="P391" s="5" t="n">
        <v>0</v>
      </c>
      <c r="Q391" s="2" t="n">
        <v>0</v>
      </c>
      <c r="R391" s="4" t="n">
        <f aca="false">M391*O391</f>
        <v>1488.19</v>
      </c>
      <c r="S391" s="4" t="n">
        <f aca="false">R391*(P391/100)</f>
        <v>0</v>
      </c>
      <c r="T391" s="4" t="n">
        <f aca="false">R391-S391</f>
        <v>1488.19</v>
      </c>
    </row>
    <row r="392" customFormat="false" ht="15" hidden="false" customHeight="false" outlineLevel="0" collapsed="false">
      <c r="A392" s="2" t="n">
        <v>800391</v>
      </c>
      <c r="B392" s="2" t="s">
        <v>123</v>
      </c>
      <c r="C392" s="2" t="s">
        <v>84</v>
      </c>
      <c r="D392" s="2" t="s">
        <v>85</v>
      </c>
      <c r="E392" s="2" t="s">
        <v>124</v>
      </c>
      <c r="F392" s="2" t="s">
        <v>51</v>
      </c>
      <c r="G392" s="2" t="s">
        <v>25</v>
      </c>
      <c r="H392" s="2" t="s">
        <v>26</v>
      </c>
      <c r="I392" s="2" t="s">
        <v>27</v>
      </c>
      <c r="J392" s="2" t="s">
        <v>28</v>
      </c>
      <c r="K392" s="2" t="s">
        <v>63</v>
      </c>
      <c r="L392" s="2" t="s">
        <v>60</v>
      </c>
      <c r="M392" s="2" t="n">
        <v>432</v>
      </c>
      <c r="N392" s="3" t="n">
        <v>50</v>
      </c>
      <c r="O392" s="4" t="n">
        <v>42.57</v>
      </c>
      <c r="P392" s="5" t="n">
        <v>10</v>
      </c>
      <c r="Q392" s="2" t="n">
        <v>2</v>
      </c>
      <c r="R392" s="4" t="n">
        <f aca="false">M392*O392</f>
        <v>18390.24</v>
      </c>
      <c r="S392" s="4" t="n">
        <f aca="false">R392*(P392/100)</f>
        <v>1839.024</v>
      </c>
      <c r="T392" s="4" t="n">
        <f aca="false">R392-S392</f>
        <v>16551.216</v>
      </c>
    </row>
    <row r="393" customFormat="false" ht="15" hidden="false" customHeight="false" outlineLevel="0" collapsed="false">
      <c r="A393" s="2" t="n">
        <v>800392</v>
      </c>
      <c r="B393" s="2" t="s">
        <v>204</v>
      </c>
      <c r="C393" s="2" t="s">
        <v>84</v>
      </c>
      <c r="D393" s="2" t="s">
        <v>164</v>
      </c>
      <c r="E393" s="2" t="s">
        <v>165</v>
      </c>
      <c r="F393" s="2" t="s">
        <v>87</v>
      </c>
      <c r="G393" s="2" t="s">
        <v>90</v>
      </c>
      <c r="H393" s="2" t="s">
        <v>26</v>
      </c>
      <c r="I393" s="2" t="s">
        <v>37</v>
      </c>
      <c r="J393" s="2" t="s">
        <v>38</v>
      </c>
      <c r="K393" s="2" t="s">
        <v>39</v>
      </c>
      <c r="L393" s="2" t="s">
        <v>161</v>
      </c>
      <c r="M393" s="2" t="n">
        <v>70</v>
      </c>
      <c r="N393" s="3" t="n">
        <v>30</v>
      </c>
      <c r="O393" s="4" t="n">
        <v>28.4</v>
      </c>
      <c r="P393" s="5" t="n">
        <v>0</v>
      </c>
      <c r="Q393" s="2" t="n">
        <v>0</v>
      </c>
      <c r="R393" s="4" t="n">
        <f aca="false">M393*O393</f>
        <v>1988</v>
      </c>
      <c r="S393" s="4" t="n">
        <f aca="false">R393*(P393/100)</f>
        <v>0</v>
      </c>
      <c r="T393" s="4" t="n">
        <f aca="false">R393-S393</f>
        <v>1988</v>
      </c>
    </row>
    <row r="394" customFormat="false" ht="15" hidden="false" customHeight="false" outlineLevel="0" collapsed="false">
      <c r="A394" s="2" t="n">
        <v>800393</v>
      </c>
      <c r="B394" s="2" t="s">
        <v>376</v>
      </c>
      <c r="C394" s="2" t="s">
        <v>41</v>
      </c>
      <c r="D394" s="2" t="s">
        <v>49</v>
      </c>
      <c r="E394" s="2" t="s">
        <v>50</v>
      </c>
      <c r="F394" s="2" t="s">
        <v>51</v>
      </c>
      <c r="G394" s="2" t="s">
        <v>125</v>
      </c>
      <c r="H394" s="2" t="s">
        <v>26</v>
      </c>
      <c r="I394" s="2" t="s">
        <v>44</v>
      </c>
      <c r="J394" s="2" t="s">
        <v>45</v>
      </c>
      <c r="K394" s="2" t="s">
        <v>111</v>
      </c>
      <c r="L394" s="2" t="s">
        <v>82</v>
      </c>
      <c r="M394" s="2" t="n">
        <v>204</v>
      </c>
      <c r="N394" s="3" t="n">
        <v>10</v>
      </c>
      <c r="O394" s="4" t="n">
        <v>9.28</v>
      </c>
      <c r="P394" s="5" t="n">
        <v>5</v>
      </c>
      <c r="Q394" s="2" t="n">
        <v>1</v>
      </c>
      <c r="R394" s="4" t="n">
        <f aca="false">M394*O394</f>
        <v>1893.12</v>
      </c>
      <c r="S394" s="4" t="n">
        <f aca="false">R394*(P394/100)</f>
        <v>94.656</v>
      </c>
      <c r="T394" s="4" t="n">
        <f aca="false">R394-S394</f>
        <v>1798.464</v>
      </c>
    </row>
    <row r="395" customFormat="false" ht="15" hidden="false" customHeight="false" outlineLevel="0" collapsed="false">
      <c r="A395" s="2" t="n">
        <v>800394</v>
      </c>
      <c r="B395" s="2" t="s">
        <v>377</v>
      </c>
      <c r="C395" s="2" t="s">
        <v>41</v>
      </c>
      <c r="D395" s="2" t="s">
        <v>73</v>
      </c>
      <c r="E395" s="2" t="s">
        <v>74</v>
      </c>
      <c r="F395" s="2" t="s">
        <v>35</v>
      </c>
      <c r="G395" s="2" t="s">
        <v>25</v>
      </c>
      <c r="H395" s="2" t="s">
        <v>26</v>
      </c>
      <c r="I395" s="2" t="s">
        <v>37</v>
      </c>
      <c r="J395" s="2" t="s">
        <v>38</v>
      </c>
      <c r="K395" s="2" t="s">
        <v>39</v>
      </c>
      <c r="L395" s="2" t="s">
        <v>107</v>
      </c>
      <c r="M395" s="2" t="n">
        <v>201</v>
      </c>
      <c r="N395" s="3" t="n">
        <v>30</v>
      </c>
      <c r="O395" s="4" t="n">
        <v>26.87</v>
      </c>
      <c r="P395" s="5" t="n">
        <v>12.5</v>
      </c>
      <c r="Q395" s="2" t="n">
        <v>2</v>
      </c>
      <c r="R395" s="4" t="n">
        <f aca="false">M395*O395</f>
        <v>5400.87</v>
      </c>
      <c r="S395" s="4" t="n">
        <f aca="false">R395*(P395/100)</f>
        <v>675.10875</v>
      </c>
      <c r="T395" s="4" t="n">
        <f aca="false">R395-S395</f>
        <v>4725.76125</v>
      </c>
    </row>
    <row r="396" customFormat="false" ht="15" hidden="false" customHeight="false" outlineLevel="0" collapsed="false">
      <c r="A396" s="2" t="n">
        <v>800395</v>
      </c>
      <c r="B396" s="2" t="s">
        <v>377</v>
      </c>
      <c r="C396" s="2" t="s">
        <v>41</v>
      </c>
      <c r="D396" s="2" t="s">
        <v>49</v>
      </c>
      <c r="E396" s="2" t="s">
        <v>80</v>
      </c>
      <c r="F396" s="2" t="s">
        <v>51</v>
      </c>
      <c r="G396" s="2" t="s">
        <v>62</v>
      </c>
      <c r="H396" s="2" t="s">
        <v>26</v>
      </c>
      <c r="I396" s="2" t="s">
        <v>27</v>
      </c>
      <c r="J396" s="2" t="s">
        <v>28</v>
      </c>
      <c r="K396" s="2" t="s">
        <v>63</v>
      </c>
      <c r="L396" s="2" t="s">
        <v>82</v>
      </c>
      <c r="M396" s="2" t="n">
        <v>235</v>
      </c>
      <c r="N396" s="3" t="n">
        <v>50</v>
      </c>
      <c r="O396" s="4" t="n">
        <v>46.92</v>
      </c>
      <c r="P396" s="5" t="n">
        <v>10</v>
      </c>
      <c r="Q396" s="2" t="n">
        <v>0</v>
      </c>
      <c r="R396" s="4" t="n">
        <f aca="false">M396*O396</f>
        <v>11026.2</v>
      </c>
      <c r="S396" s="4" t="n">
        <f aca="false">R396*(P396/100)</f>
        <v>1102.62</v>
      </c>
      <c r="T396" s="4" t="n">
        <f aca="false">R396-S396</f>
        <v>9923.58</v>
      </c>
    </row>
    <row r="397" customFormat="false" ht="15" hidden="false" customHeight="false" outlineLevel="0" collapsed="false">
      <c r="A397" s="2" t="n">
        <v>800396</v>
      </c>
      <c r="B397" s="2" t="s">
        <v>378</v>
      </c>
      <c r="C397" s="2" t="s">
        <v>32</v>
      </c>
      <c r="D397" s="2" t="s">
        <v>55</v>
      </c>
      <c r="E397" s="2" t="s">
        <v>56</v>
      </c>
      <c r="F397" s="2" t="s">
        <v>87</v>
      </c>
      <c r="G397" s="2" t="s">
        <v>137</v>
      </c>
      <c r="H397" s="2" t="s">
        <v>26</v>
      </c>
      <c r="I397" s="2" t="s">
        <v>44</v>
      </c>
      <c r="J397" s="2" t="s">
        <v>126</v>
      </c>
      <c r="K397" s="2" t="s">
        <v>71</v>
      </c>
      <c r="L397" s="2" t="s">
        <v>107</v>
      </c>
      <c r="M397" s="2" t="n">
        <v>329</v>
      </c>
      <c r="N397" s="3" t="n">
        <v>20</v>
      </c>
      <c r="O397" s="4" t="n">
        <v>18.81</v>
      </c>
      <c r="P397" s="5" t="n">
        <v>5</v>
      </c>
      <c r="Q397" s="2" t="n">
        <v>2</v>
      </c>
      <c r="R397" s="4" t="n">
        <f aca="false">M397*O397</f>
        <v>6188.49</v>
      </c>
      <c r="S397" s="4" t="n">
        <f aca="false">R397*(P397/100)</f>
        <v>309.4245</v>
      </c>
      <c r="T397" s="4" t="n">
        <f aca="false">R397-S397</f>
        <v>5879.0655</v>
      </c>
    </row>
    <row r="398" customFormat="false" ht="15" hidden="false" customHeight="false" outlineLevel="0" collapsed="false">
      <c r="A398" s="2" t="n">
        <v>800397</v>
      </c>
      <c r="B398" s="2" t="s">
        <v>168</v>
      </c>
      <c r="C398" s="2" t="s">
        <v>41</v>
      </c>
      <c r="D398" s="2" t="s">
        <v>42</v>
      </c>
      <c r="E398" s="2" t="s">
        <v>131</v>
      </c>
      <c r="F398" s="2" t="s">
        <v>24</v>
      </c>
      <c r="G398" s="2" t="s">
        <v>36</v>
      </c>
      <c r="H398" s="2" t="s">
        <v>26</v>
      </c>
      <c r="I398" s="2" t="s">
        <v>27</v>
      </c>
      <c r="J398" s="2" t="s">
        <v>28</v>
      </c>
      <c r="K398" s="2" t="s">
        <v>63</v>
      </c>
      <c r="L398" s="2" t="s">
        <v>107</v>
      </c>
      <c r="M398" s="2" t="n">
        <v>400</v>
      </c>
      <c r="N398" s="3" t="n">
        <v>50</v>
      </c>
      <c r="O398" s="4" t="n">
        <v>47.4</v>
      </c>
      <c r="P398" s="5" t="n">
        <v>0</v>
      </c>
      <c r="Q398" s="2" t="n">
        <v>0</v>
      </c>
      <c r="R398" s="4" t="n">
        <f aca="false">M398*O398</f>
        <v>18960</v>
      </c>
      <c r="S398" s="4" t="n">
        <f aca="false">R398*(P398/100)</f>
        <v>0</v>
      </c>
      <c r="T398" s="4" t="n">
        <f aca="false">R398-S398</f>
        <v>18960</v>
      </c>
    </row>
    <row r="399" customFormat="false" ht="15" hidden="false" customHeight="false" outlineLevel="0" collapsed="false">
      <c r="A399" s="2" t="n">
        <v>800398</v>
      </c>
      <c r="B399" s="2" t="s">
        <v>307</v>
      </c>
      <c r="C399" s="2" t="s">
        <v>41</v>
      </c>
      <c r="D399" s="2" t="s">
        <v>73</v>
      </c>
      <c r="E399" s="2" t="s">
        <v>136</v>
      </c>
      <c r="F399" s="2" t="s">
        <v>78</v>
      </c>
      <c r="G399" s="2" t="s">
        <v>94</v>
      </c>
      <c r="H399" s="2" t="s">
        <v>26</v>
      </c>
      <c r="I399" s="2" t="s">
        <v>37</v>
      </c>
      <c r="J399" s="2" t="s">
        <v>38</v>
      </c>
      <c r="K399" s="2" t="s">
        <v>39</v>
      </c>
      <c r="L399" s="2" t="s">
        <v>132</v>
      </c>
      <c r="M399" s="2" t="n">
        <v>414</v>
      </c>
      <c r="N399" s="3" t="n">
        <v>30</v>
      </c>
      <c r="O399" s="4" t="n">
        <v>27.17</v>
      </c>
      <c r="P399" s="5" t="n">
        <v>0</v>
      </c>
      <c r="Q399" s="2" t="n">
        <v>0</v>
      </c>
      <c r="R399" s="4" t="n">
        <f aca="false">M399*O399</f>
        <v>11248.38</v>
      </c>
      <c r="S399" s="4" t="n">
        <f aca="false">R399*(P399/100)</f>
        <v>0</v>
      </c>
      <c r="T399" s="4" t="n">
        <f aca="false">R399-S399</f>
        <v>11248.38</v>
      </c>
    </row>
    <row r="400" customFormat="false" ht="15" hidden="false" customHeight="false" outlineLevel="0" collapsed="false">
      <c r="A400" s="2" t="n">
        <v>800399</v>
      </c>
      <c r="B400" s="2" t="s">
        <v>285</v>
      </c>
      <c r="C400" s="2" t="s">
        <v>32</v>
      </c>
      <c r="D400" s="2" t="s">
        <v>66</v>
      </c>
      <c r="E400" s="2" t="s">
        <v>67</v>
      </c>
      <c r="F400" s="2" t="s">
        <v>87</v>
      </c>
      <c r="G400" s="2" t="s">
        <v>25</v>
      </c>
      <c r="H400" s="2" t="s">
        <v>26</v>
      </c>
      <c r="I400" s="2" t="s">
        <v>27</v>
      </c>
      <c r="J400" s="2" t="s">
        <v>91</v>
      </c>
      <c r="K400" s="2" t="s">
        <v>29</v>
      </c>
      <c r="L400" s="2" t="s">
        <v>60</v>
      </c>
      <c r="M400" s="2" t="n">
        <v>340</v>
      </c>
      <c r="N400" s="3" t="n">
        <v>35</v>
      </c>
      <c r="O400" s="4" t="n">
        <v>30.37</v>
      </c>
      <c r="P400" s="5" t="n">
        <v>0</v>
      </c>
      <c r="Q400" s="2" t="n">
        <v>0</v>
      </c>
      <c r="R400" s="4" t="n">
        <f aca="false">M400*O400</f>
        <v>10325.8</v>
      </c>
      <c r="S400" s="4" t="n">
        <f aca="false">R400*(P400/100)</f>
        <v>0</v>
      </c>
      <c r="T400" s="4" t="n">
        <f aca="false">R400-S400</f>
        <v>10325.8</v>
      </c>
    </row>
    <row r="401" customFormat="false" ht="15" hidden="false" customHeight="false" outlineLevel="0" collapsed="false">
      <c r="A401" s="2" t="n">
        <v>800400</v>
      </c>
      <c r="B401" s="2" t="s">
        <v>224</v>
      </c>
      <c r="C401" s="2" t="s">
        <v>84</v>
      </c>
      <c r="D401" s="2" t="s">
        <v>119</v>
      </c>
      <c r="E401" s="2" t="s">
        <v>201</v>
      </c>
      <c r="F401" s="2" t="s">
        <v>51</v>
      </c>
      <c r="G401" s="2" t="s">
        <v>90</v>
      </c>
      <c r="H401" s="2" t="s">
        <v>26</v>
      </c>
      <c r="I401" s="2" t="s">
        <v>44</v>
      </c>
      <c r="J401" s="2" t="s">
        <v>126</v>
      </c>
      <c r="K401" s="2" t="s">
        <v>71</v>
      </c>
      <c r="L401" s="2" t="s">
        <v>60</v>
      </c>
      <c r="M401" s="2" t="n">
        <v>89</v>
      </c>
      <c r="N401" s="3" t="n">
        <v>20</v>
      </c>
      <c r="O401" s="4" t="n">
        <v>19.71</v>
      </c>
      <c r="P401" s="5" t="n">
        <v>0</v>
      </c>
      <c r="Q401" s="2" t="n">
        <v>2</v>
      </c>
      <c r="R401" s="4" t="n">
        <f aca="false">M401*O401</f>
        <v>1754.19</v>
      </c>
      <c r="S401" s="4" t="n">
        <f aca="false">R401*(P401/100)</f>
        <v>0</v>
      </c>
      <c r="T401" s="4" t="n">
        <f aca="false">R401-S401</f>
        <v>1754.19</v>
      </c>
    </row>
    <row r="402" customFormat="false" ht="15" hidden="false" customHeight="false" outlineLevel="0" collapsed="false">
      <c r="A402" s="2" t="n">
        <v>800401</v>
      </c>
      <c r="B402" s="2" t="s">
        <v>373</v>
      </c>
      <c r="C402" s="2" t="s">
        <v>41</v>
      </c>
      <c r="D402" s="2" t="s">
        <v>49</v>
      </c>
      <c r="E402" s="2" t="s">
        <v>80</v>
      </c>
      <c r="F402" s="2" t="s">
        <v>87</v>
      </c>
      <c r="G402" s="2" t="s">
        <v>94</v>
      </c>
      <c r="H402" s="2" t="s">
        <v>26</v>
      </c>
      <c r="I402" s="2" t="s">
        <v>37</v>
      </c>
      <c r="J402" s="2" t="s">
        <v>38</v>
      </c>
      <c r="K402" s="2" t="s">
        <v>39</v>
      </c>
      <c r="L402" s="2" t="s">
        <v>47</v>
      </c>
      <c r="M402" s="2" t="n">
        <v>246</v>
      </c>
      <c r="N402" s="3" t="n">
        <v>30</v>
      </c>
      <c r="O402" s="4" t="n">
        <v>26.79</v>
      </c>
      <c r="P402" s="5" t="n">
        <v>10</v>
      </c>
      <c r="Q402" s="2" t="n">
        <v>0</v>
      </c>
      <c r="R402" s="4" t="n">
        <f aca="false">M402*O402</f>
        <v>6590.34</v>
      </c>
      <c r="S402" s="4" t="n">
        <f aca="false">R402*(P402/100)</f>
        <v>659.034</v>
      </c>
      <c r="T402" s="4" t="n">
        <f aca="false">R402-S402</f>
        <v>5931.306</v>
      </c>
    </row>
    <row r="403" customFormat="false" ht="15" hidden="false" customHeight="false" outlineLevel="0" collapsed="false">
      <c r="A403" s="2" t="n">
        <v>800402</v>
      </c>
      <c r="B403" s="2" t="s">
        <v>296</v>
      </c>
      <c r="C403" s="2" t="s">
        <v>84</v>
      </c>
      <c r="D403" s="2" t="s">
        <v>128</v>
      </c>
      <c r="E403" s="2" t="s">
        <v>129</v>
      </c>
      <c r="F403" s="2" t="s">
        <v>35</v>
      </c>
      <c r="G403" s="2" t="s">
        <v>106</v>
      </c>
      <c r="H403" s="2" t="s">
        <v>26</v>
      </c>
      <c r="I403" s="2" t="s">
        <v>44</v>
      </c>
      <c r="J403" s="2" t="s">
        <v>45</v>
      </c>
      <c r="K403" s="2" t="s">
        <v>111</v>
      </c>
      <c r="L403" s="2" t="s">
        <v>60</v>
      </c>
      <c r="M403" s="2" t="n">
        <v>293</v>
      </c>
      <c r="N403" s="3" t="n">
        <v>10</v>
      </c>
      <c r="O403" s="4" t="n">
        <v>8.51</v>
      </c>
      <c r="P403" s="5" t="n">
        <v>12.5</v>
      </c>
      <c r="Q403" s="2" t="n">
        <v>2</v>
      </c>
      <c r="R403" s="4" t="n">
        <f aca="false">M403*O403</f>
        <v>2493.43</v>
      </c>
      <c r="S403" s="4" t="n">
        <f aca="false">R403*(P403/100)</f>
        <v>311.67875</v>
      </c>
      <c r="T403" s="4" t="n">
        <f aca="false">R403-S403</f>
        <v>2181.75125</v>
      </c>
    </row>
    <row r="404" customFormat="false" ht="15" hidden="false" customHeight="false" outlineLevel="0" collapsed="false">
      <c r="A404" s="2" t="n">
        <v>800403</v>
      </c>
      <c r="B404" s="2" t="s">
        <v>100</v>
      </c>
      <c r="C404" s="2" t="s">
        <v>21</v>
      </c>
      <c r="D404" s="2" t="s">
        <v>101</v>
      </c>
      <c r="E404" s="2" t="s">
        <v>102</v>
      </c>
      <c r="F404" s="2" t="s">
        <v>35</v>
      </c>
      <c r="G404" s="2" t="s">
        <v>25</v>
      </c>
      <c r="H404" s="2" t="s">
        <v>26</v>
      </c>
      <c r="I404" s="2" t="s">
        <v>69</v>
      </c>
      <c r="J404" s="2" t="s">
        <v>81</v>
      </c>
      <c r="K404" s="2" t="s">
        <v>71</v>
      </c>
      <c r="L404" s="2" t="s">
        <v>99</v>
      </c>
      <c r="M404" s="2" t="n">
        <v>230</v>
      </c>
      <c r="N404" s="3" t="n">
        <v>40</v>
      </c>
      <c r="O404" s="4" t="n">
        <v>38.94</v>
      </c>
      <c r="P404" s="5" t="n">
        <v>10</v>
      </c>
      <c r="Q404" s="2" t="n">
        <v>1</v>
      </c>
      <c r="R404" s="4" t="n">
        <f aca="false">M404*O404</f>
        <v>8956.2</v>
      </c>
      <c r="S404" s="4" t="n">
        <f aca="false">R404*(P404/100)</f>
        <v>895.62</v>
      </c>
      <c r="T404" s="4" t="n">
        <f aca="false">R404-S404</f>
        <v>8060.58</v>
      </c>
    </row>
    <row r="405" customFormat="false" ht="15" hidden="false" customHeight="false" outlineLevel="0" collapsed="false">
      <c r="A405" s="2" t="n">
        <v>800404</v>
      </c>
      <c r="B405" s="2" t="s">
        <v>209</v>
      </c>
      <c r="C405" s="2" t="s">
        <v>32</v>
      </c>
      <c r="D405" s="2" t="s">
        <v>151</v>
      </c>
      <c r="E405" s="2" t="s">
        <v>152</v>
      </c>
      <c r="F405" s="2" t="s">
        <v>24</v>
      </c>
      <c r="G405" s="2" t="s">
        <v>68</v>
      </c>
      <c r="H405" s="2" t="s">
        <v>26</v>
      </c>
      <c r="I405" s="2" t="s">
        <v>69</v>
      </c>
      <c r="J405" s="2" t="s">
        <v>202</v>
      </c>
      <c r="K405" s="2" t="s">
        <v>39</v>
      </c>
      <c r="L405" s="2" t="s">
        <v>99</v>
      </c>
      <c r="M405" s="2" t="n">
        <v>284</v>
      </c>
      <c r="N405" s="3" t="n">
        <v>20</v>
      </c>
      <c r="O405" s="4" t="n">
        <v>19.14</v>
      </c>
      <c r="P405" s="5" t="n">
        <v>5</v>
      </c>
      <c r="Q405" s="2" t="n">
        <v>0</v>
      </c>
      <c r="R405" s="4" t="n">
        <f aca="false">M405*O405</f>
        <v>5435.76</v>
      </c>
      <c r="S405" s="4" t="n">
        <f aca="false">R405*(P405/100)</f>
        <v>271.788</v>
      </c>
      <c r="T405" s="4" t="n">
        <f aca="false">R405-S405</f>
        <v>5163.972</v>
      </c>
    </row>
    <row r="406" customFormat="false" ht="15" hidden="false" customHeight="false" outlineLevel="0" collapsed="false">
      <c r="A406" s="2" t="n">
        <v>800405</v>
      </c>
      <c r="B406" s="2" t="s">
        <v>379</v>
      </c>
      <c r="C406" s="2" t="s">
        <v>84</v>
      </c>
      <c r="D406" s="2" t="s">
        <v>164</v>
      </c>
      <c r="E406" s="2" t="s">
        <v>211</v>
      </c>
      <c r="F406" s="2" t="s">
        <v>78</v>
      </c>
      <c r="G406" s="2" t="s">
        <v>106</v>
      </c>
      <c r="H406" s="2" t="s">
        <v>26</v>
      </c>
      <c r="I406" s="2" t="s">
        <v>27</v>
      </c>
      <c r="J406" s="2" t="s">
        <v>91</v>
      </c>
      <c r="K406" s="2" t="s">
        <v>29</v>
      </c>
      <c r="L406" s="2" t="s">
        <v>47</v>
      </c>
      <c r="M406" s="2" t="n">
        <v>346</v>
      </c>
      <c r="N406" s="3" t="n">
        <v>35</v>
      </c>
      <c r="O406" s="4" t="n">
        <v>31.98</v>
      </c>
      <c r="P406" s="5" t="n">
        <v>12.5</v>
      </c>
      <c r="Q406" s="2" t="n">
        <v>0</v>
      </c>
      <c r="R406" s="4" t="n">
        <f aca="false">M406*O406</f>
        <v>11065.08</v>
      </c>
      <c r="S406" s="4" t="n">
        <f aca="false">R406*(P406/100)</f>
        <v>1383.135</v>
      </c>
      <c r="T406" s="4" t="n">
        <f aca="false">R406-S406</f>
        <v>9681.945</v>
      </c>
    </row>
    <row r="407" customFormat="false" ht="15" hidden="false" customHeight="false" outlineLevel="0" collapsed="false">
      <c r="A407" s="2" t="n">
        <v>800406</v>
      </c>
      <c r="B407" s="2" t="s">
        <v>380</v>
      </c>
      <c r="C407" s="2" t="s">
        <v>41</v>
      </c>
      <c r="D407" s="2" t="s">
        <v>73</v>
      </c>
      <c r="E407" s="2" t="s">
        <v>74</v>
      </c>
      <c r="F407" s="2" t="s">
        <v>78</v>
      </c>
      <c r="G407" s="2" t="s">
        <v>106</v>
      </c>
      <c r="H407" s="2" t="s">
        <v>26</v>
      </c>
      <c r="I407" s="2" t="s">
        <v>69</v>
      </c>
      <c r="J407" s="2" t="s">
        <v>134</v>
      </c>
      <c r="K407" s="2" t="s">
        <v>39</v>
      </c>
      <c r="L407" s="2" t="s">
        <v>64</v>
      </c>
      <c r="M407" s="2" t="n">
        <v>72</v>
      </c>
      <c r="N407" s="3" t="n">
        <v>20</v>
      </c>
      <c r="O407" s="4" t="n">
        <v>17.79</v>
      </c>
      <c r="P407" s="5" t="n">
        <v>0</v>
      </c>
      <c r="Q407" s="2" t="n">
        <v>2</v>
      </c>
      <c r="R407" s="4" t="n">
        <f aca="false">M407*O407</f>
        <v>1280.88</v>
      </c>
      <c r="S407" s="4" t="n">
        <f aca="false">R407*(P407/100)</f>
        <v>0</v>
      </c>
      <c r="T407" s="4" t="n">
        <f aca="false">R407-S407</f>
        <v>1280.88</v>
      </c>
    </row>
    <row r="408" customFormat="false" ht="15" hidden="false" customHeight="false" outlineLevel="0" collapsed="false">
      <c r="A408" s="2" t="n">
        <v>800407</v>
      </c>
      <c r="B408" s="2" t="s">
        <v>277</v>
      </c>
      <c r="C408" s="2" t="s">
        <v>32</v>
      </c>
      <c r="D408" s="2" t="s">
        <v>66</v>
      </c>
      <c r="E408" s="2" t="s">
        <v>113</v>
      </c>
      <c r="F408" s="2" t="s">
        <v>78</v>
      </c>
      <c r="G408" s="2" t="s">
        <v>94</v>
      </c>
      <c r="H408" s="2" t="s">
        <v>26</v>
      </c>
      <c r="I408" s="2" t="s">
        <v>27</v>
      </c>
      <c r="J408" s="2" t="s">
        <v>91</v>
      </c>
      <c r="K408" s="2" t="s">
        <v>29</v>
      </c>
      <c r="L408" s="2" t="s">
        <v>161</v>
      </c>
      <c r="M408" s="2" t="n">
        <v>179</v>
      </c>
      <c r="N408" s="3" t="n">
        <v>35</v>
      </c>
      <c r="O408" s="4" t="n">
        <v>33.6</v>
      </c>
      <c r="P408" s="5" t="n">
        <v>12.5</v>
      </c>
      <c r="Q408" s="2" t="n">
        <v>1</v>
      </c>
      <c r="R408" s="4" t="n">
        <f aca="false">M408*O408</f>
        <v>6014.4</v>
      </c>
      <c r="S408" s="4" t="n">
        <f aca="false">R408*(P408/100)</f>
        <v>751.8</v>
      </c>
      <c r="T408" s="4" t="n">
        <f aca="false">R408-S408</f>
        <v>5262.6</v>
      </c>
    </row>
    <row r="409" customFormat="false" ht="15" hidden="false" customHeight="false" outlineLevel="0" collapsed="false">
      <c r="A409" s="2" t="n">
        <v>800408</v>
      </c>
      <c r="B409" s="2" t="s">
        <v>75</v>
      </c>
      <c r="C409" s="2" t="s">
        <v>21</v>
      </c>
      <c r="D409" s="2" t="s">
        <v>147</v>
      </c>
      <c r="E409" s="2" t="s">
        <v>228</v>
      </c>
      <c r="F409" s="2" t="s">
        <v>24</v>
      </c>
      <c r="G409" s="2" t="s">
        <v>36</v>
      </c>
      <c r="H409" s="2" t="s">
        <v>26</v>
      </c>
      <c r="I409" s="2" t="s">
        <v>44</v>
      </c>
      <c r="J409" s="2" t="s">
        <v>45</v>
      </c>
      <c r="K409" s="2" t="s">
        <v>111</v>
      </c>
      <c r="L409" s="2" t="s">
        <v>47</v>
      </c>
      <c r="M409" s="2" t="n">
        <v>298</v>
      </c>
      <c r="N409" s="3" t="n">
        <v>10</v>
      </c>
      <c r="O409" s="4" t="n">
        <v>9.16</v>
      </c>
      <c r="P409" s="5" t="n">
        <v>2</v>
      </c>
      <c r="Q409" s="2" t="n">
        <v>0</v>
      </c>
      <c r="R409" s="4" t="n">
        <f aca="false">M409*O409</f>
        <v>2729.68</v>
      </c>
      <c r="S409" s="4" t="n">
        <f aca="false">R409*(P409/100)</f>
        <v>54.5936</v>
      </c>
      <c r="T409" s="4" t="n">
        <f aca="false">R409-S409</f>
        <v>2675.0864</v>
      </c>
    </row>
    <row r="410" customFormat="false" ht="15" hidden="false" customHeight="false" outlineLevel="0" collapsed="false">
      <c r="A410" s="2" t="n">
        <v>800409</v>
      </c>
      <c r="B410" s="2" t="s">
        <v>273</v>
      </c>
      <c r="C410" s="2" t="s">
        <v>21</v>
      </c>
      <c r="D410" s="2" t="s">
        <v>22</v>
      </c>
      <c r="E410" s="2" t="s">
        <v>109</v>
      </c>
      <c r="F410" s="2" t="s">
        <v>51</v>
      </c>
      <c r="G410" s="2" t="s">
        <v>94</v>
      </c>
      <c r="H410" s="2" t="s">
        <v>26</v>
      </c>
      <c r="I410" s="2" t="s">
        <v>27</v>
      </c>
      <c r="J410" s="2" t="s">
        <v>28</v>
      </c>
      <c r="K410" s="2" t="s">
        <v>29</v>
      </c>
      <c r="L410" s="2" t="s">
        <v>99</v>
      </c>
      <c r="M410" s="2" t="n">
        <v>255</v>
      </c>
      <c r="N410" s="3" t="n">
        <v>30</v>
      </c>
      <c r="O410" s="4" t="n">
        <v>28.59</v>
      </c>
      <c r="P410" s="5" t="n">
        <v>0</v>
      </c>
      <c r="Q410" s="2" t="n">
        <v>3</v>
      </c>
      <c r="R410" s="4" t="n">
        <f aca="false">M410*O410</f>
        <v>7290.45</v>
      </c>
      <c r="S410" s="4" t="n">
        <f aca="false">R410*(P410/100)</f>
        <v>0</v>
      </c>
      <c r="T410" s="4" t="n">
        <f aca="false">R410-S410</f>
        <v>7290.45</v>
      </c>
    </row>
    <row r="411" customFormat="false" ht="15" hidden="false" customHeight="false" outlineLevel="0" collapsed="false">
      <c r="A411" s="2" t="n">
        <v>800410</v>
      </c>
      <c r="B411" s="2" t="s">
        <v>169</v>
      </c>
      <c r="C411" s="2" t="s">
        <v>32</v>
      </c>
      <c r="D411" s="2" t="s">
        <v>151</v>
      </c>
      <c r="E411" s="2" t="s">
        <v>152</v>
      </c>
      <c r="F411" s="2" t="s">
        <v>87</v>
      </c>
      <c r="G411" s="2" t="s">
        <v>137</v>
      </c>
      <c r="H411" s="2" t="s">
        <v>26</v>
      </c>
      <c r="I411" s="2" t="s">
        <v>27</v>
      </c>
      <c r="J411" s="2" t="s">
        <v>28</v>
      </c>
      <c r="K411" s="2" t="s">
        <v>29</v>
      </c>
      <c r="L411" s="2" t="s">
        <v>30</v>
      </c>
      <c r="M411" s="2" t="n">
        <v>286</v>
      </c>
      <c r="N411" s="3" t="n">
        <v>30</v>
      </c>
      <c r="O411" s="4" t="n">
        <v>26.01</v>
      </c>
      <c r="P411" s="5" t="n">
        <v>12.5</v>
      </c>
      <c r="Q411" s="2" t="n">
        <v>0</v>
      </c>
      <c r="R411" s="4" t="n">
        <f aca="false">M411*O411</f>
        <v>7438.86</v>
      </c>
      <c r="S411" s="4" t="n">
        <f aca="false">R411*(P411/100)</f>
        <v>929.8575</v>
      </c>
      <c r="T411" s="4" t="n">
        <f aca="false">R411-S411</f>
        <v>6509.0025</v>
      </c>
    </row>
    <row r="412" customFormat="false" ht="15" hidden="false" customHeight="false" outlineLevel="0" collapsed="false">
      <c r="A412" s="2" t="n">
        <v>800411</v>
      </c>
      <c r="B412" s="2" t="s">
        <v>381</v>
      </c>
      <c r="C412" s="2" t="s">
        <v>84</v>
      </c>
      <c r="D412" s="2" t="s">
        <v>128</v>
      </c>
      <c r="E412" s="2" t="s">
        <v>129</v>
      </c>
      <c r="F412" s="2" t="s">
        <v>78</v>
      </c>
      <c r="G412" s="2" t="s">
        <v>25</v>
      </c>
      <c r="H412" s="2" t="s">
        <v>26</v>
      </c>
      <c r="I412" s="2" t="s">
        <v>57</v>
      </c>
      <c r="J412" s="2" t="s">
        <v>58</v>
      </c>
      <c r="K412" s="2" t="s">
        <v>59</v>
      </c>
      <c r="L412" s="2" t="s">
        <v>132</v>
      </c>
      <c r="M412" s="2" t="n">
        <v>105</v>
      </c>
      <c r="N412" s="3" t="n">
        <v>20</v>
      </c>
      <c r="O412" s="4" t="n">
        <v>19.22</v>
      </c>
      <c r="P412" s="5" t="n">
        <v>0</v>
      </c>
      <c r="Q412" s="2" t="n">
        <v>1</v>
      </c>
      <c r="R412" s="4" t="n">
        <f aca="false">M412*O412</f>
        <v>2018.1</v>
      </c>
      <c r="S412" s="4" t="n">
        <f aca="false">R412*(P412/100)</f>
        <v>0</v>
      </c>
      <c r="T412" s="4" t="n">
        <f aca="false">R412-S412</f>
        <v>2018.1</v>
      </c>
    </row>
    <row r="413" customFormat="false" ht="15" hidden="false" customHeight="false" outlineLevel="0" collapsed="false">
      <c r="A413" s="2" t="n">
        <v>800412</v>
      </c>
      <c r="B413" s="2" t="s">
        <v>286</v>
      </c>
      <c r="C413" s="2" t="s">
        <v>21</v>
      </c>
      <c r="D413" s="2" t="s">
        <v>22</v>
      </c>
      <c r="E413" s="2" t="s">
        <v>23</v>
      </c>
      <c r="F413" s="2" t="s">
        <v>35</v>
      </c>
      <c r="G413" s="2" t="s">
        <v>106</v>
      </c>
      <c r="H413" s="2" t="s">
        <v>26</v>
      </c>
      <c r="I413" s="2" t="s">
        <v>44</v>
      </c>
      <c r="J413" s="2" t="s">
        <v>45</v>
      </c>
      <c r="K413" s="2" t="s">
        <v>46</v>
      </c>
      <c r="L413" s="2" t="s">
        <v>99</v>
      </c>
      <c r="M413" s="2" t="n">
        <v>100</v>
      </c>
      <c r="N413" s="3" t="n">
        <v>20</v>
      </c>
      <c r="O413" s="4" t="n">
        <v>18.4</v>
      </c>
      <c r="P413" s="5" t="n">
        <v>7.5</v>
      </c>
      <c r="Q413" s="2" t="n">
        <v>0</v>
      </c>
      <c r="R413" s="4" t="n">
        <f aca="false">M413*O413</f>
        <v>1840</v>
      </c>
      <c r="S413" s="4" t="n">
        <f aca="false">R413*(P413/100)</f>
        <v>138</v>
      </c>
      <c r="T413" s="4" t="n">
        <f aca="false">R413-S413</f>
        <v>1702</v>
      </c>
    </row>
    <row r="414" customFormat="false" ht="15" hidden="false" customHeight="false" outlineLevel="0" collapsed="false">
      <c r="A414" s="2" t="n">
        <v>800413</v>
      </c>
      <c r="B414" s="2" t="s">
        <v>341</v>
      </c>
      <c r="C414" s="2" t="s">
        <v>84</v>
      </c>
      <c r="D414" s="2" t="s">
        <v>85</v>
      </c>
      <c r="E414" s="2" t="s">
        <v>86</v>
      </c>
      <c r="F414" s="2" t="s">
        <v>24</v>
      </c>
      <c r="G414" s="2" t="s">
        <v>94</v>
      </c>
      <c r="H414" s="2" t="s">
        <v>26</v>
      </c>
      <c r="I414" s="2" t="s">
        <v>27</v>
      </c>
      <c r="J414" s="2" t="s">
        <v>91</v>
      </c>
      <c r="K414" s="2" t="s">
        <v>29</v>
      </c>
      <c r="L414" s="2" t="s">
        <v>30</v>
      </c>
      <c r="M414" s="2" t="n">
        <v>423</v>
      </c>
      <c r="N414" s="3" t="n">
        <v>35</v>
      </c>
      <c r="O414" s="4" t="n">
        <v>32.91</v>
      </c>
      <c r="P414" s="5" t="n">
        <v>7.5</v>
      </c>
      <c r="Q414" s="2" t="n">
        <v>2</v>
      </c>
      <c r="R414" s="4" t="n">
        <f aca="false">M414*O414</f>
        <v>13920.93</v>
      </c>
      <c r="S414" s="4" t="n">
        <f aca="false">R414*(P414/100)</f>
        <v>1044.06975</v>
      </c>
      <c r="T414" s="4" t="n">
        <f aca="false">R414-S414</f>
        <v>12876.86025</v>
      </c>
    </row>
    <row r="415" customFormat="false" ht="15" hidden="false" customHeight="false" outlineLevel="0" collapsed="false">
      <c r="A415" s="2" t="n">
        <v>800414</v>
      </c>
      <c r="B415" s="2" t="s">
        <v>290</v>
      </c>
      <c r="C415" s="2" t="s">
        <v>21</v>
      </c>
      <c r="D415" s="2" t="s">
        <v>101</v>
      </c>
      <c r="E415" s="2" t="s">
        <v>102</v>
      </c>
      <c r="F415" s="2" t="s">
        <v>24</v>
      </c>
      <c r="G415" s="2" t="s">
        <v>68</v>
      </c>
      <c r="H415" s="2" t="s">
        <v>26</v>
      </c>
      <c r="I415" s="2" t="s">
        <v>69</v>
      </c>
      <c r="J415" s="2" t="s">
        <v>114</v>
      </c>
      <c r="K415" s="2" t="s">
        <v>29</v>
      </c>
      <c r="L415" s="2" t="s">
        <v>60</v>
      </c>
      <c r="M415" s="2" t="n">
        <v>306</v>
      </c>
      <c r="N415" s="3" t="n">
        <v>20</v>
      </c>
      <c r="O415" s="4" t="n">
        <v>17.83</v>
      </c>
      <c r="P415" s="5" t="n">
        <v>12.5</v>
      </c>
      <c r="Q415" s="2" t="n">
        <v>0</v>
      </c>
      <c r="R415" s="4" t="n">
        <f aca="false">M415*O415</f>
        <v>5455.98</v>
      </c>
      <c r="S415" s="4" t="n">
        <f aca="false">R415*(P415/100)</f>
        <v>681.9975</v>
      </c>
      <c r="T415" s="4" t="n">
        <f aca="false">R415-S415</f>
        <v>4773.9825</v>
      </c>
    </row>
    <row r="416" customFormat="false" ht="15" hidden="false" customHeight="false" outlineLevel="0" collapsed="false">
      <c r="A416" s="2" t="n">
        <v>800415</v>
      </c>
      <c r="B416" s="2" t="s">
        <v>282</v>
      </c>
      <c r="C416" s="2" t="s">
        <v>32</v>
      </c>
      <c r="D416" s="2" t="s">
        <v>76</v>
      </c>
      <c r="E416" s="2" t="s">
        <v>77</v>
      </c>
      <c r="F416" s="2" t="s">
        <v>87</v>
      </c>
      <c r="G416" s="2" t="s">
        <v>125</v>
      </c>
      <c r="H416" s="2" t="s">
        <v>26</v>
      </c>
      <c r="I416" s="2" t="s">
        <v>57</v>
      </c>
      <c r="J416" s="2" t="s">
        <v>58</v>
      </c>
      <c r="K416" s="2" t="s">
        <v>59</v>
      </c>
      <c r="L416" s="2" t="s">
        <v>53</v>
      </c>
      <c r="M416" s="2" t="n">
        <v>488</v>
      </c>
      <c r="N416" s="3" t="n">
        <v>20</v>
      </c>
      <c r="O416" s="4" t="n">
        <v>19.41</v>
      </c>
      <c r="P416" s="5" t="n">
        <v>0</v>
      </c>
      <c r="Q416" s="2" t="n">
        <v>0</v>
      </c>
      <c r="R416" s="4" t="n">
        <f aca="false">M416*O416</f>
        <v>9472.08</v>
      </c>
      <c r="S416" s="4" t="n">
        <f aca="false">R416*(P416/100)</f>
        <v>0</v>
      </c>
      <c r="T416" s="4" t="n">
        <f aca="false">R416-S416</f>
        <v>9472.08</v>
      </c>
    </row>
    <row r="417" customFormat="false" ht="15" hidden="false" customHeight="false" outlineLevel="0" collapsed="false">
      <c r="A417" s="2" t="n">
        <v>800416</v>
      </c>
      <c r="B417" s="2" t="s">
        <v>382</v>
      </c>
      <c r="C417" s="2" t="s">
        <v>32</v>
      </c>
      <c r="D417" s="2" t="s">
        <v>151</v>
      </c>
      <c r="E417" s="2" t="s">
        <v>152</v>
      </c>
      <c r="F417" s="2" t="s">
        <v>87</v>
      </c>
      <c r="G417" s="2" t="s">
        <v>90</v>
      </c>
      <c r="H417" s="2" t="s">
        <v>26</v>
      </c>
      <c r="I417" s="2" t="s">
        <v>44</v>
      </c>
      <c r="J417" s="2" t="s">
        <v>45</v>
      </c>
      <c r="K417" s="2" t="s">
        <v>111</v>
      </c>
      <c r="L417" s="2" t="s">
        <v>132</v>
      </c>
      <c r="M417" s="2" t="n">
        <v>417</v>
      </c>
      <c r="N417" s="3" t="n">
        <v>10</v>
      </c>
      <c r="O417" s="4" t="n">
        <v>9.39</v>
      </c>
      <c r="P417" s="5" t="n">
        <v>10</v>
      </c>
      <c r="Q417" s="2" t="n">
        <v>0</v>
      </c>
      <c r="R417" s="4" t="n">
        <f aca="false">M417*O417</f>
        <v>3915.63</v>
      </c>
      <c r="S417" s="4" t="n">
        <f aca="false">R417*(P417/100)</f>
        <v>391.563</v>
      </c>
      <c r="T417" s="4" t="n">
        <f aca="false">R417-S417</f>
        <v>3524.067</v>
      </c>
    </row>
    <row r="418" customFormat="false" ht="15" hidden="false" customHeight="false" outlineLevel="0" collapsed="false">
      <c r="A418" s="2" t="n">
        <v>800417</v>
      </c>
      <c r="B418" s="2" t="s">
        <v>383</v>
      </c>
      <c r="C418" s="2" t="s">
        <v>84</v>
      </c>
      <c r="D418" s="2" t="s">
        <v>85</v>
      </c>
      <c r="E418" s="2" t="s">
        <v>124</v>
      </c>
      <c r="F418" s="2" t="s">
        <v>78</v>
      </c>
      <c r="G418" s="2" t="s">
        <v>62</v>
      </c>
      <c r="H418" s="2" t="s">
        <v>26</v>
      </c>
      <c r="I418" s="2" t="s">
        <v>37</v>
      </c>
      <c r="J418" s="2" t="s">
        <v>38</v>
      </c>
      <c r="K418" s="2" t="s">
        <v>39</v>
      </c>
      <c r="L418" s="2" t="s">
        <v>99</v>
      </c>
      <c r="M418" s="2" t="n">
        <v>288</v>
      </c>
      <c r="N418" s="3" t="n">
        <v>30</v>
      </c>
      <c r="O418" s="4" t="n">
        <v>28.37</v>
      </c>
      <c r="P418" s="5" t="n">
        <v>0</v>
      </c>
      <c r="Q418" s="2" t="n">
        <v>0</v>
      </c>
      <c r="R418" s="4" t="n">
        <f aca="false">M418*O418</f>
        <v>8170.56</v>
      </c>
      <c r="S418" s="4" t="n">
        <f aca="false">R418*(P418/100)</f>
        <v>0</v>
      </c>
      <c r="T418" s="4" t="n">
        <f aca="false">R418-S418</f>
        <v>8170.56</v>
      </c>
    </row>
    <row r="419" customFormat="false" ht="15" hidden="false" customHeight="false" outlineLevel="0" collapsed="false">
      <c r="A419" s="2" t="n">
        <v>800418</v>
      </c>
      <c r="B419" s="2" t="s">
        <v>348</v>
      </c>
      <c r="C419" s="2" t="s">
        <v>41</v>
      </c>
      <c r="D419" s="2" t="s">
        <v>49</v>
      </c>
      <c r="E419" s="2" t="s">
        <v>80</v>
      </c>
      <c r="F419" s="2" t="s">
        <v>78</v>
      </c>
      <c r="G419" s="2" t="s">
        <v>52</v>
      </c>
      <c r="H419" s="2" t="s">
        <v>26</v>
      </c>
      <c r="I419" s="2" t="s">
        <v>37</v>
      </c>
      <c r="J419" s="2" t="s">
        <v>38</v>
      </c>
      <c r="K419" s="2" t="s">
        <v>39</v>
      </c>
      <c r="L419" s="2" t="s">
        <v>132</v>
      </c>
      <c r="M419" s="2" t="n">
        <v>447</v>
      </c>
      <c r="N419" s="3" t="n">
        <v>30</v>
      </c>
      <c r="O419" s="4" t="n">
        <v>29.44</v>
      </c>
      <c r="P419" s="5" t="n">
        <v>0</v>
      </c>
      <c r="Q419" s="2" t="n">
        <v>0</v>
      </c>
      <c r="R419" s="4" t="n">
        <f aca="false">M419*O419</f>
        <v>13159.68</v>
      </c>
      <c r="S419" s="4" t="n">
        <f aca="false">R419*(P419/100)</f>
        <v>0</v>
      </c>
      <c r="T419" s="4" t="n">
        <f aca="false">R419-S419</f>
        <v>13159.68</v>
      </c>
    </row>
    <row r="420" customFormat="false" ht="15" hidden="false" customHeight="false" outlineLevel="0" collapsed="false">
      <c r="A420" s="2" t="n">
        <v>800419</v>
      </c>
      <c r="B420" s="2" t="s">
        <v>384</v>
      </c>
      <c r="C420" s="2" t="s">
        <v>21</v>
      </c>
      <c r="D420" s="2" t="s">
        <v>101</v>
      </c>
      <c r="E420" s="2" t="s">
        <v>145</v>
      </c>
      <c r="F420" s="2" t="s">
        <v>78</v>
      </c>
      <c r="G420" s="2" t="s">
        <v>36</v>
      </c>
      <c r="H420" s="2" t="s">
        <v>26</v>
      </c>
      <c r="I420" s="2" t="s">
        <v>37</v>
      </c>
      <c r="J420" s="2" t="s">
        <v>38</v>
      </c>
      <c r="K420" s="2" t="s">
        <v>39</v>
      </c>
      <c r="L420" s="2" t="s">
        <v>60</v>
      </c>
      <c r="M420" s="2" t="n">
        <v>289</v>
      </c>
      <c r="N420" s="3" t="n">
        <v>30</v>
      </c>
      <c r="O420" s="4" t="n">
        <v>28.12</v>
      </c>
      <c r="P420" s="5" t="n">
        <v>5</v>
      </c>
      <c r="Q420" s="2" t="n">
        <v>0</v>
      </c>
      <c r="R420" s="4" t="n">
        <f aca="false">M420*O420</f>
        <v>8126.68</v>
      </c>
      <c r="S420" s="4" t="n">
        <f aca="false">R420*(P420/100)</f>
        <v>406.334</v>
      </c>
      <c r="T420" s="4" t="n">
        <f aca="false">R420-S420</f>
        <v>7720.346</v>
      </c>
    </row>
    <row r="421" customFormat="false" ht="15" hidden="false" customHeight="false" outlineLevel="0" collapsed="false">
      <c r="A421" s="2" t="n">
        <v>800420</v>
      </c>
      <c r="B421" s="2" t="s">
        <v>385</v>
      </c>
      <c r="C421" s="2" t="s">
        <v>32</v>
      </c>
      <c r="D421" s="2" t="s">
        <v>76</v>
      </c>
      <c r="E421" s="2" t="s">
        <v>96</v>
      </c>
      <c r="F421" s="2" t="s">
        <v>78</v>
      </c>
      <c r="G421" s="2" t="s">
        <v>25</v>
      </c>
      <c r="H421" s="2" t="s">
        <v>26</v>
      </c>
      <c r="I421" s="2" t="s">
        <v>57</v>
      </c>
      <c r="J421" s="2" t="s">
        <v>104</v>
      </c>
      <c r="K421" s="2" t="s">
        <v>59</v>
      </c>
      <c r="L421" s="2" t="s">
        <v>60</v>
      </c>
      <c r="M421" s="2" t="n">
        <v>430</v>
      </c>
      <c r="N421" s="3" t="n">
        <v>25</v>
      </c>
      <c r="O421" s="4" t="n">
        <v>23.49</v>
      </c>
      <c r="P421" s="5" t="n">
        <v>7.5</v>
      </c>
      <c r="Q421" s="2" t="n">
        <v>3</v>
      </c>
      <c r="R421" s="4" t="n">
        <f aca="false">M421*O421</f>
        <v>10100.7</v>
      </c>
      <c r="S421" s="4" t="n">
        <f aca="false">R421*(P421/100)</f>
        <v>757.5525</v>
      </c>
      <c r="T421" s="4" t="n">
        <f aca="false">R421-S421</f>
        <v>9343.1475</v>
      </c>
    </row>
    <row r="422" customFormat="false" ht="15" hidden="false" customHeight="false" outlineLevel="0" collapsed="false">
      <c r="A422" s="2" t="n">
        <v>800421</v>
      </c>
      <c r="B422" s="2" t="s">
        <v>386</v>
      </c>
      <c r="C422" s="2" t="s">
        <v>84</v>
      </c>
      <c r="D422" s="2" t="s">
        <v>128</v>
      </c>
      <c r="E422" s="2" t="s">
        <v>199</v>
      </c>
      <c r="F422" s="2" t="s">
        <v>35</v>
      </c>
      <c r="G422" s="2" t="s">
        <v>36</v>
      </c>
      <c r="H422" s="2" t="s">
        <v>26</v>
      </c>
      <c r="I422" s="2" t="s">
        <v>69</v>
      </c>
      <c r="J422" s="2" t="s">
        <v>81</v>
      </c>
      <c r="K422" s="2" t="s">
        <v>39</v>
      </c>
      <c r="L422" s="2" t="s">
        <v>47</v>
      </c>
      <c r="M422" s="2" t="n">
        <v>130</v>
      </c>
      <c r="N422" s="3" t="n">
        <v>20</v>
      </c>
      <c r="O422" s="4" t="n">
        <v>19.69</v>
      </c>
      <c r="P422" s="5" t="n">
        <v>0</v>
      </c>
      <c r="Q422" s="2" t="n">
        <v>0</v>
      </c>
      <c r="R422" s="4" t="n">
        <f aca="false">M422*O422</f>
        <v>2559.7</v>
      </c>
      <c r="S422" s="4" t="n">
        <f aca="false">R422*(P422/100)</f>
        <v>0</v>
      </c>
      <c r="T422" s="4" t="n">
        <f aca="false">R422-S422</f>
        <v>2559.7</v>
      </c>
    </row>
    <row r="423" customFormat="false" ht="15" hidden="false" customHeight="false" outlineLevel="0" collapsed="false">
      <c r="A423" s="2" t="n">
        <v>800422</v>
      </c>
      <c r="B423" s="2" t="s">
        <v>208</v>
      </c>
      <c r="C423" s="2" t="s">
        <v>41</v>
      </c>
      <c r="D423" s="2" t="s">
        <v>73</v>
      </c>
      <c r="E423" s="2" t="s">
        <v>136</v>
      </c>
      <c r="F423" s="2" t="s">
        <v>35</v>
      </c>
      <c r="G423" s="2" t="s">
        <v>62</v>
      </c>
      <c r="H423" s="2" t="s">
        <v>26</v>
      </c>
      <c r="I423" s="2" t="s">
        <v>27</v>
      </c>
      <c r="J423" s="2" t="s">
        <v>28</v>
      </c>
      <c r="K423" s="2" t="s">
        <v>63</v>
      </c>
      <c r="L423" s="2" t="s">
        <v>30</v>
      </c>
      <c r="M423" s="2" t="n">
        <v>403</v>
      </c>
      <c r="N423" s="3" t="n">
        <v>50</v>
      </c>
      <c r="O423" s="4" t="n">
        <v>46.41</v>
      </c>
      <c r="P423" s="5" t="n">
        <v>0</v>
      </c>
      <c r="Q423" s="2" t="n">
        <v>1</v>
      </c>
      <c r="R423" s="4" t="n">
        <f aca="false">M423*O423</f>
        <v>18703.23</v>
      </c>
      <c r="S423" s="4" t="n">
        <f aca="false">R423*(P423/100)</f>
        <v>0</v>
      </c>
      <c r="T423" s="4" t="n">
        <f aca="false">R423-S423</f>
        <v>18703.23</v>
      </c>
    </row>
    <row r="424" customFormat="false" ht="15" hidden="false" customHeight="false" outlineLevel="0" collapsed="false">
      <c r="A424" s="2" t="n">
        <v>800423</v>
      </c>
      <c r="B424" s="2" t="s">
        <v>305</v>
      </c>
      <c r="C424" s="2" t="s">
        <v>41</v>
      </c>
      <c r="D424" s="2" t="s">
        <v>49</v>
      </c>
      <c r="E424" s="2" t="s">
        <v>80</v>
      </c>
      <c r="F424" s="2" t="s">
        <v>78</v>
      </c>
      <c r="G424" s="2" t="s">
        <v>106</v>
      </c>
      <c r="H424" s="2" t="s">
        <v>26</v>
      </c>
      <c r="I424" s="2" t="s">
        <v>27</v>
      </c>
      <c r="J424" s="2" t="s">
        <v>98</v>
      </c>
      <c r="K424" s="2" t="s">
        <v>46</v>
      </c>
      <c r="L424" s="2" t="s">
        <v>30</v>
      </c>
      <c r="M424" s="2" t="n">
        <v>192</v>
      </c>
      <c r="N424" s="3" t="n">
        <v>99</v>
      </c>
      <c r="O424" s="4" t="n">
        <v>93.26</v>
      </c>
      <c r="P424" s="5" t="n">
        <v>12.5</v>
      </c>
      <c r="Q424" s="2" t="n">
        <v>1</v>
      </c>
      <c r="R424" s="4" t="n">
        <f aca="false">M424*O424</f>
        <v>17905.92</v>
      </c>
      <c r="S424" s="4" t="n">
        <f aca="false">R424*(P424/100)</f>
        <v>2238.24</v>
      </c>
      <c r="T424" s="4" t="n">
        <f aca="false">R424-S424</f>
        <v>15667.68</v>
      </c>
    </row>
    <row r="425" customFormat="false" ht="15" hidden="false" customHeight="false" outlineLevel="0" collapsed="false">
      <c r="A425" s="2" t="n">
        <v>800424</v>
      </c>
      <c r="B425" s="2" t="s">
        <v>204</v>
      </c>
      <c r="C425" s="2" t="s">
        <v>84</v>
      </c>
      <c r="D425" s="2" t="s">
        <v>119</v>
      </c>
      <c r="E425" s="2" t="s">
        <v>201</v>
      </c>
      <c r="F425" s="2" t="s">
        <v>51</v>
      </c>
      <c r="G425" s="2" t="s">
        <v>125</v>
      </c>
      <c r="H425" s="2" t="s">
        <v>26</v>
      </c>
      <c r="I425" s="2" t="s">
        <v>44</v>
      </c>
      <c r="J425" s="2" t="s">
        <v>126</v>
      </c>
      <c r="K425" s="2" t="s">
        <v>71</v>
      </c>
      <c r="L425" s="2" t="s">
        <v>99</v>
      </c>
      <c r="M425" s="2" t="n">
        <v>308</v>
      </c>
      <c r="N425" s="3" t="n">
        <v>20</v>
      </c>
      <c r="O425" s="4" t="n">
        <v>18.53</v>
      </c>
      <c r="P425" s="5" t="n">
        <v>10</v>
      </c>
      <c r="Q425" s="2" t="n">
        <v>3</v>
      </c>
      <c r="R425" s="4" t="n">
        <f aca="false">M425*O425</f>
        <v>5707.24</v>
      </c>
      <c r="S425" s="4" t="n">
        <f aca="false">R425*(P425/100)</f>
        <v>570.724</v>
      </c>
      <c r="T425" s="4" t="n">
        <f aca="false">R425-S425</f>
        <v>5136.516</v>
      </c>
    </row>
    <row r="426" customFormat="false" ht="15" hidden="false" customHeight="false" outlineLevel="0" collapsed="false">
      <c r="A426" s="2" t="n">
        <v>800425</v>
      </c>
      <c r="B426" s="2" t="s">
        <v>296</v>
      </c>
      <c r="C426" s="2" t="s">
        <v>84</v>
      </c>
      <c r="D426" s="2" t="s">
        <v>164</v>
      </c>
      <c r="E426" s="2" t="s">
        <v>165</v>
      </c>
      <c r="F426" s="2" t="s">
        <v>51</v>
      </c>
      <c r="G426" s="2" t="s">
        <v>36</v>
      </c>
      <c r="H426" s="2" t="s">
        <v>26</v>
      </c>
      <c r="I426" s="2" t="s">
        <v>69</v>
      </c>
      <c r="J426" s="2" t="s">
        <v>81</v>
      </c>
      <c r="K426" s="2" t="s">
        <v>39</v>
      </c>
      <c r="L426" s="2" t="s">
        <v>53</v>
      </c>
      <c r="M426" s="2" t="n">
        <v>28</v>
      </c>
      <c r="N426" s="3" t="n">
        <v>20</v>
      </c>
      <c r="O426" s="4" t="n">
        <v>18.45</v>
      </c>
      <c r="P426" s="5" t="n">
        <v>5</v>
      </c>
      <c r="Q426" s="2" t="n">
        <v>0</v>
      </c>
      <c r="R426" s="4" t="n">
        <f aca="false">M426*O426</f>
        <v>516.6</v>
      </c>
      <c r="S426" s="4" t="n">
        <f aca="false">R426*(P426/100)</f>
        <v>25.83</v>
      </c>
      <c r="T426" s="4" t="n">
        <f aca="false">R426-S426</f>
        <v>490.77</v>
      </c>
    </row>
    <row r="427" customFormat="false" ht="15" hidden="false" customHeight="false" outlineLevel="0" collapsed="false">
      <c r="A427" s="2" t="n">
        <v>800426</v>
      </c>
      <c r="B427" s="2" t="s">
        <v>347</v>
      </c>
      <c r="C427" s="2" t="s">
        <v>32</v>
      </c>
      <c r="D427" s="2" t="s">
        <v>33</v>
      </c>
      <c r="E427" s="2" t="s">
        <v>187</v>
      </c>
      <c r="F427" s="2" t="s">
        <v>78</v>
      </c>
      <c r="G427" s="2" t="s">
        <v>125</v>
      </c>
      <c r="H427" s="2" t="s">
        <v>26</v>
      </c>
      <c r="I427" s="2" t="s">
        <v>44</v>
      </c>
      <c r="J427" s="2" t="s">
        <v>126</v>
      </c>
      <c r="K427" s="2" t="s">
        <v>71</v>
      </c>
      <c r="L427" s="2" t="s">
        <v>30</v>
      </c>
      <c r="M427" s="2" t="n">
        <v>304</v>
      </c>
      <c r="N427" s="3" t="n">
        <v>20</v>
      </c>
      <c r="O427" s="4" t="n">
        <v>18.6</v>
      </c>
      <c r="P427" s="5" t="n">
        <v>0</v>
      </c>
      <c r="Q427" s="2" t="n">
        <v>0</v>
      </c>
      <c r="R427" s="4" t="n">
        <f aca="false">M427*O427</f>
        <v>5654.4</v>
      </c>
      <c r="S427" s="4" t="n">
        <f aca="false">R427*(P427/100)</f>
        <v>0</v>
      </c>
      <c r="T427" s="4" t="n">
        <f aca="false">R427-S427</f>
        <v>5654.4</v>
      </c>
    </row>
    <row r="428" customFormat="false" ht="15" hidden="false" customHeight="false" outlineLevel="0" collapsed="false">
      <c r="A428" s="2" t="n">
        <v>800427</v>
      </c>
      <c r="B428" s="2" t="s">
        <v>335</v>
      </c>
      <c r="C428" s="2" t="s">
        <v>41</v>
      </c>
      <c r="D428" s="2" t="s">
        <v>42</v>
      </c>
      <c r="E428" s="2" t="s">
        <v>131</v>
      </c>
      <c r="F428" s="2" t="s">
        <v>24</v>
      </c>
      <c r="G428" s="2" t="s">
        <v>68</v>
      </c>
      <c r="H428" s="2" t="s">
        <v>26</v>
      </c>
      <c r="I428" s="2" t="s">
        <v>44</v>
      </c>
      <c r="J428" s="2" t="s">
        <v>126</v>
      </c>
      <c r="K428" s="2" t="s">
        <v>71</v>
      </c>
      <c r="L428" s="2" t="s">
        <v>99</v>
      </c>
      <c r="M428" s="2" t="n">
        <v>139</v>
      </c>
      <c r="N428" s="3" t="n">
        <v>20</v>
      </c>
      <c r="O428" s="4" t="n">
        <v>17.72</v>
      </c>
      <c r="P428" s="5" t="n">
        <v>5</v>
      </c>
      <c r="Q428" s="2" t="n">
        <v>0</v>
      </c>
      <c r="R428" s="4" t="n">
        <f aca="false">M428*O428</f>
        <v>2463.08</v>
      </c>
      <c r="S428" s="4" t="n">
        <f aca="false">R428*(P428/100)</f>
        <v>123.154</v>
      </c>
      <c r="T428" s="4" t="n">
        <f aca="false">R428-S428</f>
        <v>2339.926</v>
      </c>
    </row>
    <row r="429" customFormat="false" ht="15" hidden="false" customHeight="false" outlineLevel="0" collapsed="false">
      <c r="A429" s="2" t="n">
        <v>800428</v>
      </c>
      <c r="B429" s="2" t="s">
        <v>347</v>
      </c>
      <c r="C429" s="2" t="s">
        <v>41</v>
      </c>
      <c r="D429" s="2" t="s">
        <v>49</v>
      </c>
      <c r="E429" s="2" t="s">
        <v>50</v>
      </c>
      <c r="F429" s="2" t="s">
        <v>78</v>
      </c>
      <c r="G429" s="2" t="s">
        <v>125</v>
      </c>
      <c r="H429" s="2" t="s">
        <v>26</v>
      </c>
      <c r="I429" s="2" t="s">
        <v>44</v>
      </c>
      <c r="J429" s="2" t="s">
        <v>45</v>
      </c>
      <c r="K429" s="2" t="s">
        <v>111</v>
      </c>
      <c r="L429" s="2" t="s">
        <v>64</v>
      </c>
      <c r="M429" s="2" t="n">
        <v>269</v>
      </c>
      <c r="N429" s="3" t="n">
        <v>10</v>
      </c>
      <c r="O429" s="4" t="n">
        <v>9.66</v>
      </c>
      <c r="P429" s="5" t="n">
        <v>0</v>
      </c>
      <c r="Q429" s="2" t="n">
        <v>0</v>
      </c>
      <c r="R429" s="4" t="n">
        <f aca="false">M429*O429</f>
        <v>2598.54</v>
      </c>
      <c r="S429" s="4" t="n">
        <f aca="false">R429*(P429/100)</f>
        <v>0</v>
      </c>
      <c r="T429" s="4" t="n">
        <f aca="false">R429-S429</f>
        <v>2598.54</v>
      </c>
    </row>
    <row r="430" customFormat="false" ht="15" hidden="false" customHeight="false" outlineLevel="0" collapsed="false">
      <c r="A430" s="2" t="n">
        <v>800429</v>
      </c>
      <c r="B430" s="2" t="s">
        <v>359</v>
      </c>
      <c r="C430" s="2" t="s">
        <v>41</v>
      </c>
      <c r="D430" s="2" t="s">
        <v>73</v>
      </c>
      <c r="E430" s="2" t="s">
        <v>136</v>
      </c>
      <c r="F430" s="2" t="s">
        <v>87</v>
      </c>
      <c r="G430" s="2" t="s">
        <v>137</v>
      </c>
      <c r="H430" s="2" t="s">
        <v>26</v>
      </c>
      <c r="I430" s="2" t="s">
        <v>57</v>
      </c>
      <c r="J430" s="2" t="s">
        <v>58</v>
      </c>
      <c r="K430" s="2" t="s">
        <v>59</v>
      </c>
      <c r="L430" s="2" t="s">
        <v>47</v>
      </c>
      <c r="M430" s="2" t="n">
        <v>465</v>
      </c>
      <c r="N430" s="3" t="n">
        <v>20</v>
      </c>
      <c r="O430" s="4" t="n">
        <v>19.16</v>
      </c>
      <c r="P430" s="5" t="n">
        <v>0</v>
      </c>
      <c r="Q430" s="2" t="n">
        <v>1</v>
      </c>
      <c r="R430" s="4" t="n">
        <f aca="false">M430*O430</f>
        <v>8909.4</v>
      </c>
      <c r="S430" s="4" t="n">
        <f aca="false">R430*(P430/100)</f>
        <v>0</v>
      </c>
      <c r="T430" s="4" t="n">
        <f aca="false">R430-S430</f>
        <v>8909.4</v>
      </c>
    </row>
    <row r="431" customFormat="false" ht="15" hidden="false" customHeight="false" outlineLevel="0" collapsed="false">
      <c r="A431" s="2" t="n">
        <v>800430</v>
      </c>
      <c r="B431" s="2" t="s">
        <v>195</v>
      </c>
      <c r="C431" s="2" t="s">
        <v>84</v>
      </c>
      <c r="D431" s="2" t="s">
        <v>128</v>
      </c>
      <c r="E431" s="2" t="s">
        <v>199</v>
      </c>
      <c r="F431" s="2" t="s">
        <v>35</v>
      </c>
      <c r="G431" s="2" t="s">
        <v>143</v>
      </c>
      <c r="H431" s="2" t="s">
        <v>26</v>
      </c>
      <c r="I431" s="2" t="s">
        <v>27</v>
      </c>
      <c r="J431" s="2" t="s">
        <v>91</v>
      </c>
      <c r="K431" s="2" t="s">
        <v>29</v>
      </c>
      <c r="L431" s="2" t="s">
        <v>30</v>
      </c>
      <c r="M431" s="2" t="n">
        <v>377</v>
      </c>
      <c r="N431" s="3" t="n">
        <v>35</v>
      </c>
      <c r="O431" s="4" t="n">
        <v>30.83</v>
      </c>
      <c r="P431" s="5" t="n">
        <v>0</v>
      </c>
      <c r="Q431" s="2" t="n">
        <v>1</v>
      </c>
      <c r="R431" s="4" t="n">
        <f aca="false">M431*O431</f>
        <v>11622.91</v>
      </c>
      <c r="S431" s="4" t="n">
        <f aca="false">R431*(P431/100)</f>
        <v>0</v>
      </c>
      <c r="T431" s="4" t="n">
        <f aca="false">R431-S431</f>
        <v>11622.91</v>
      </c>
    </row>
    <row r="432" customFormat="false" ht="15" hidden="false" customHeight="false" outlineLevel="0" collapsed="false">
      <c r="A432" s="2" t="n">
        <v>800431</v>
      </c>
      <c r="B432" s="2" t="s">
        <v>387</v>
      </c>
      <c r="C432" s="2" t="s">
        <v>21</v>
      </c>
      <c r="D432" s="2" t="s">
        <v>116</v>
      </c>
      <c r="E432" s="2" t="s">
        <v>309</v>
      </c>
      <c r="F432" s="2" t="s">
        <v>87</v>
      </c>
      <c r="G432" s="2" t="s">
        <v>103</v>
      </c>
      <c r="H432" s="2" t="s">
        <v>26</v>
      </c>
      <c r="I432" s="2" t="s">
        <v>27</v>
      </c>
      <c r="J432" s="2" t="s">
        <v>28</v>
      </c>
      <c r="K432" s="2" t="s">
        <v>63</v>
      </c>
      <c r="L432" s="2" t="s">
        <v>82</v>
      </c>
      <c r="M432" s="2" t="n">
        <v>62</v>
      </c>
      <c r="N432" s="3" t="n">
        <v>50</v>
      </c>
      <c r="O432" s="4" t="n">
        <v>45.83</v>
      </c>
      <c r="P432" s="5" t="n">
        <v>0</v>
      </c>
      <c r="Q432" s="2" t="n">
        <v>3</v>
      </c>
      <c r="R432" s="4" t="n">
        <f aca="false">M432*O432</f>
        <v>2841.46</v>
      </c>
      <c r="S432" s="4" t="n">
        <f aca="false">R432*(P432/100)</f>
        <v>0</v>
      </c>
      <c r="T432" s="4" t="n">
        <f aca="false">R432-S432</f>
        <v>2841.46</v>
      </c>
    </row>
    <row r="433" customFormat="false" ht="15" hidden="false" customHeight="false" outlineLevel="0" collapsed="false">
      <c r="A433" s="2" t="n">
        <v>800432</v>
      </c>
      <c r="B433" s="2" t="s">
        <v>388</v>
      </c>
      <c r="C433" s="2" t="s">
        <v>84</v>
      </c>
      <c r="D433" s="2" t="s">
        <v>128</v>
      </c>
      <c r="E433" s="2" t="s">
        <v>199</v>
      </c>
      <c r="F433" s="2" t="s">
        <v>35</v>
      </c>
      <c r="G433" s="2" t="s">
        <v>103</v>
      </c>
      <c r="H433" s="2" t="s">
        <v>26</v>
      </c>
      <c r="I433" s="2" t="s">
        <v>27</v>
      </c>
      <c r="J433" s="2" t="s">
        <v>28</v>
      </c>
      <c r="K433" s="2" t="s">
        <v>63</v>
      </c>
      <c r="L433" s="2" t="s">
        <v>60</v>
      </c>
      <c r="M433" s="2" t="n">
        <v>306</v>
      </c>
      <c r="N433" s="3" t="n">
        <v>50</v>
      </c>
      <c r="O433" s="4" t="n">
        <v>43.89</v>
      </c>
      <c r="P433" s="5" t="n">
        <v>10</v>
      </c>
      <c r="Q433" s="2" t="n">
        <v>0</v>
      </c>
      <c r="R433" s="4" t="n">
        <f aca="false">M433*O433</f>
        <v>13430.34</v>
      </c>
      <c r="S433" s="4" t="n">
        <f aca="false">R433*(P433/100)</f>
        <v>1343.034</v>
      </c>
      <c r="T433" s="4" t="n">
        <f aca="false">R433-S433</f>
        <v>12087.306</v>
      </c>
    </row>
    <row r="434" customFormat="false" ht="15" hidden="false" customHeight="false" outlineLevel="0" collapsed="false">
      <c r="A434" s="2" t="n">
        <v>800433</v>
      </c>
      <c r="B434" s="2" t="s">
        <v>384</v>
      </c>
      <c r="C434" s="2" t="s">
        <v>32</v>
      </c>
      <c r="D434" s="2" t="s">
        <v>33</v>
      </c>
      <c r="E434" s="2" t="s">
        <v>141</v>
      </c>
      <c r="F434" s="2" t="s">
        <v>87</v>
      </c>
      <c r="G434" s="2" t="s">
        <v>103</v>
      </c>
      <c r="H434" s="2" t="s">
        <v>26</v>
      </c>
      <c r="I434" s="2" t="s">
        <v>44</v>
      </c>
      <c r="J434" s="2" t="s">
        <v>126</v>
      </c>
      <c r="K434" s="2" t="s">
        <v>71</v>
      </c>
      <c r="L434" s="2" t="s">
        <v>53</v>
      </c>
      <c r="M434" s="2" t="n">
        <v>65</v>
      </c>
      <c r="N434" s="3" t="n">
        <v>20</v>
      </c>
      <c r="O434" s="4" t="n">
        <v>17.32</v>
      </c>
      <c r="P434" s="5" t="n">
        <v>10</v>
      </c>
      <c r="Q434" s="2" t="n">
        <v>1</v>
      </c>
      <c r="R434" s="4" t="n">
        <f aca="false">M434*O434</f>
        <v>1125.8</v>
      </c>
      <c r="S434" s="4" t="n">
        <f aca="false">R434*(P434/100)</f>
        <v>112.58</v>
      </c>
      <c r="T434" s="4" t="n">
        <f aca="false">R434-S434</f>
        <v>1013.22</v>
      </c>
    </row>
    <row r="435" customFormat="false" ht="15" hidden="false" customHeight="false" outlineLevel="0" collapsed="false">
      <c r="A435" s="2" t="n">
        <v>800434</v>
      </c>
      <c r="B435" s="2" t="s">
        <v>389</v>
      </c>
      <c r="C435" s="2" t="s">
        <v>84</v>
      </c>
      <c r="D435" s="2" t="s">
        <v>85</v>
      </c>
      <c r="E435" s="2" t="s">
        <v>124</v>
      </c>
      <c r="F435" s="2" t="s">
        <v>87</v>
      </c>
      <c r="G435" s="2" t="s">
        <v>143</v>
      </c>
      <c r="H435" s="2" t="s">
        <v>26</v>
      </c>
      <c r="I435" s="2" t="s">
        <v>69</v>
      </c>
      <c r="J435" s="2" t="s">
        <v>81</v>
      </c>
      <c r="K435" s="2" t="s">
        <v>39</v>
      </c>
      <c r="L435" s="2" t="s">
        <v>64</v>
      </c>
      <c r="M435" s="2" t="n">
        <v>199</v>
      </c>
      <c r="N435" s="3" t="n">
        <v>20</v>
      </c>
      <c r="O435" s="4" t="n">
        <v>18.73</v>
      </c>
      <c r="P435" s="5" t="n">
        <v>12.5</v>
      </c>
      <c r="Q435" s="2" t="n">
        <v>0</v>
      </c>
      <c r="R435" s="4" t="n">
        <f aca="false">M435*O435</f>
        <v>3727.27</v>
      </c>
      <c r="S435" s="4" t="n">
        <f aca="false">R435*(P435/100)</f>
        <v>465.90875</v>
      </c>
      <c r="T435" s="4" t="n">
        <f aca="false">R435-S435</f>
        <v>3261.36125</v>
      </c>
    </row>
    <row r="436" customFormat="false" ht="15" hidden="false" customHeight="false" outlineLevel="0" collapsed="false">
      <c r="A436" s="2" t="n">
        <v>800435</v>
      </c>
      <c r="B436" s="2" t="s">
        <v>390</v>
      </c>
      <c r="C436" s="2" t="s">
        <v>21</v>
      </c>
      <c r="D436" s="2" t="s">
        <v>116</v>
      </c>
      <c r="E436" s="2" t="s">
        <v>324</v>
      </c>
      <c r="F436" s="2" t="s">
        <v>87</v>
      </c>
      <c r="G436" s="2" t="s">
        <v>106</v>
      </c>
      <c r="H436" s="2" t="s">
        <v>26</v>
      </c>
      <c r="I436" s="2" t="s">
        <v>69</v>
      </c>
      <c r="J436" s="2" t="s">
        <v>134</v>
      </c>
      <c r="K436" s="2" t="s">
        <v>71</v>
      </c>
      <c r="L436" s="2" t="s">
        <v>132</v>
      </c>
      <c r="M436" s="2" t="n">
        <v>144</v>
      </c>
      <c r="N436" s="3" t="n">
        <v>40</v>
      </c>
      <c r="O436" s="4" t="n">
        <v>39.31</v>
      </c>
      <c r="P436" s="5" t="n">
        <v>0</v>
      </c>
      <c r="Q436" s="2" t="n">
        <v>0</v>
      </c>
      <c r="R436" s="4" t="n">
        <f aca="false">M436*O436</f>
        <v>5660.64</v>
      </c>
      <c r="S436" s="4" t="n">
        <f aca="false">R436*(P436/100)</f>
        <v>0</v>
      </c>
      <c r="T436" s="4" t="n">
        <f aca="false">R436-S436</f>
        <v>5660.64</v>
      </c>
    </row>
    <row r="437" customFormat="false" ht="15" hidden="false" customHeight="false" outlineLevel="0" collapsed="false">
      <c r="A437" s="2" t="n">
        <v>800436</v>
      </c>
      <c r="B437" s="2" t="s">
        <v>182</v>
      </c>
      <c r="C437" s="2" t="s">
        <v>84</v>
      </c>
      <c r="D437" s="2" t="s">
        <v>128</v>
      </c>
      <c r="E437" s="2" t="s">
        <v>199</v>
      </c>
      <c r="F437" s="2" t="s">
        <v>51</v>
      </c>
      <c r="G437" s="2" t="s">
        <v>94</v>
      </c>
      <c r="H437" s="2" t="s">
        <v>26</v>
      </c>
      <c r="I437" s="2" t="s">
        <v>69</v>
      </c>
      <c r="J437" s="2" t="s">
        <v>81</v>
      </c>
      <c r="K437" s="2" t="s">
        <v>71</v>
      </c>
      <c r="L437" s="2" t="s">
        <v>99</v>
      </c>
      <c r="M437" s="2" t="n">
        <v>398</v>
      </c>
      <c r="N437" s="3" t="n">
        <v>40</v>
      </c>
      <c r="O437" s="4" t="n">
        <v>37.01</v>
      </c>
      <c r="P437" s="5" t="n">
        <v>2</v>
      </c>
      <c r="Q437" s="2" t="n">
        <v>3</v>
      </c>
      <c r="R437" s="4" t="n">
        <f aca="false">M437*O437</f>
        <v>14729.98</v>
      </c>
      <c r="S437" s="4" t="n">
        <f aca="false">R437*(P437/100)</f>
        <v>294.5996</v>
      </c>
      <c r="T437" s="4" t="n">
        <f aca="false">R437-S437</f>
        <v>14435.3804</v>
      </c>
    </row>
    <row r="438" customFormat="false" ht="15" hidden="false" customHeight="false" outlineLevel="0" collapsed="false">
      <c r="A438" s="2" t="n">
        <v>800437</v>
      </c>
      <c r="B438" s="2" t="s">
        <v>359</v>
      </c>
      <c r="C438" s="2" t="s">
        <v>84</v>
      </c>
      <c r="D438" s="2" t="s">
        <v>164</v>
      </c>
      <c r="E438" s="2" t="s">
        <v>211</v>
      </c>
      <c r="F438" s="2" t="s">
        <v>78</v>
      </c>
      <c r="G438" s="2" t="s">
        <v>103</v>
      </c>
      <c r="H438" s="2" t="s">
        <v>26</v>
      </c>
      <c r="I438" s="2" t="s">
        <v>37</v>
      </c>
      <c r="J438" s="2" t="s">
        <v>38</v>
      </c>
      <c r="K438" s="2" t="s">
        <v>39</v>
      </c>
      <c r="L438" s="2" t="s">
        <v>107</v>
      </c>
      <c r="M438" s="2" t="n">
        <v>107</v>
      </c>
      <c r="N438" s="3" t="n">
        <v>30</v>
      </c>
      <c r="O438" s="4" t="n">
        <v>25.75</v>
      </c>
      <c r="P438" s="5" t="n">
        <v>2</v>
      </c>
      <c r="Q438" s="2" t="n">
        <v>0</v>
      </c>
      <c r="R438" s="4" t="n">
        <f aca="false">M438*O438</f>
        <v>2755.25</v>
      </c>
      <c r="S438" s="4" t="n">
        <f aca="false">R438*(P438/100)</f>
        <v>55.105</v>
      </c>
      <c r="T438" s="4" t="n">
        <f aca="false">R438-S438</f>
        <v>2700.145</v>
      </c>
    </row>
    <row r="439" customFormat="false" ht="15" hidden="false" customHeight="false" outlineLevel="0" collapsed="false">
      <c r="A439" s="2" t="n">
        <v>800438</v>
      </c>
      <c r="B439" s="2" t="s">
        <v>386</v>
      </c>
      <c r="C439" s="2" t="s">
        <v>41</v>
      </c>
      <c r="D439" s="2" t="s">
        <v>49</v>
      </c>
      <c r="E439" s="2" t="s">
        <v>50</v>
      </c>
      <c r="F439" s="2" t="s">
        <v>78</v>
      </c>
      <c r="G439" s="2" t="s">
        <v>103</v>
      </c>
      <c r="H439" s="2" t="s">
        <v>26</v>
      </c>
      <c r="I439" s="2" t="s">
        <v>44</v>
      </c>
      <c r="J439" s="2" t="s">
        <v>126</v>
      </c>
      <c r="K439" s="2" t="s">
        <v>71</v>
      </c>
      <c r="L439" s="2" t="s">
        <v>82</v>
      </c>
      <c r="M439" s="2" t="n">
        <v>462</v>
      </c>
      <c r="N439" s="3" t="n">
        <v>20</v>
      </c>
      <c r="O439" s="4" t="n">
        <v>17.3</v>
      </c>
      <c r="P439" s="5" t="n">
        <v>5</v>
      </c>
      <c r="Q439" s="2" t="n">
        <v>1</v>
      </c>
      <c r="R439" s="4" t="n">
        <f aca="false">M439*O439</f>
        <v>7992.6</v>
      </c>
      <c r="S439" s="4" t="n">
        <f aca="false">R439*(P439/100)</f>
        <v>399.63</v>
      </c>
      <c r="T439" s="4" t="n">
        <f aca="false">R439-S439</f>
        <v>7592.97</v>
      </c>
    </row>
    <row r="440" customFormat="false" ht="15" hidden="false" customHeight="false" outlineLevel="0" collapsed="false">
      <c r="A440" s="2" t="n">
        <v>800439</v>
      </c>
      <c r="B440" s="2" t="s">
        <v>391</v>
      </c>
      <c r="C440" s="2" t="s">
        <v>41</v>
      </c>
      <c r="D440" s="2" t="s">
        <v>49</v>
      </c>
      <c r="E440" s="2" t="s">
        <v>50</v>
      </c>
      <c r="F440" s="2" t="s">
        <v>87</v>
      </c>
      <c r="G440" s="2" t="s">
        <v>94</v>
      </c>
      <c r="H440" s="2" t="s">
        <v>26</v>
      </c>
      <c r="I440" s="2" t="s">
        <v>37</v>
      </c>
      <c r="J440" s="2" t="s">
        <v>38</v>
      </c>
      <c r="K440" s="2" t="s">
        <v>39</v>
      </c>
      <c r="L440" s="2" t="s">
        <v>64</v>
      </c>
      <c r="M440" s="2" t="n">
        <v>121</v>
      </c>
      <c r="N440" s="3" t="n">
        <v>30</v>
      </c>
      <c r="O440" s="4" t="n">
        <v>27.6</v>
      </c>
      <c r="P440" s="5" t="n">
        <v>12.5</v>
      </c>
      <c r="Q440" s="2" t="n">
        <v>3</v>
      </c>
      <c r="R440" s="4" t="n">
        <f aca="false">M440*O440</f>
        <v>3339.6</v>
      </c>
      <c r="S440" s="4" t="n">
        <f aca="false">R440*(P440/100)</f>
        <v>417.45</v>
      </c>
      <c r="T440" s="4" t="n">
        <f aca="false">R440-S440</f>
        <v>2922.15</v>
      </c>
    </row>
    <row r="441" customFormat="false" ht="15" hidden="false" customHeight="false" outlineLevel="0" collapsed="false">
      <c r="A441" s="2" t="n">
        <v>800440</v>
      </c>
      <c r="B441" s="2" t="s">
        <v>54</v>
      </c>
      <c r="C441" s="2" t="s">
        <v>21</v>
      </c>
      <c r="D441" s="2" t="s">
        <v>22</v>
      </c>
      <c r="E441" s="2" t="s">
        <v>109</v>
      </c>
      <c r="F441" s="2" t="s">
        <v>35</v>
      </c>
      <c r="G441" s="2" t="s">
        <v>68</v>
      </c>
      <c r="H441" s="2" t="s">
        <v>26</v>
      </c>
      <c r="I441" s="2" t="s">
        <v>44</v>
      </c>
      <c r="J441" s="2" t="s">
        <v>45</v>
      </c>
      <c r="K441" s="2" t="s">
        <v>111</v>
      </c>
      <c r="L441" s="2" t="s">
        <v>161</v>
      </c>
      <c r="M441" s="2" t="n">
        <v>401</v>
      </c>
      <c r="N441" s="3" t="n">
        <v>10</v>
      </c>
      <c r="O441" s="4" t="n">
        <v>8.72</v>
      </c>
      <c r="P441" s="5" t="n">
        <v>7.5</v>
      </c>
      <c r="Q441" s="2" t="n">
        <v>1</v>
      </c>
      <c r="R441" s="4" t="n">
        <f aca="false">M441*O441</f>
        <v>3496.72</v>
      </c>
      <c r="S441" s="4" t="n">
        <f aca="false">R441*(P441/100)</f>
        <v>262.254</v>
      </c>
      <c r="T441" s="4" t="n">
        <f aca="false">R441-S441</f>
        <v>3234.466</v>
      </c>
    </row>
    <row r="442" customFormat="false" ht="15" hidden="false" customHeight="false" outlineLevel="0" collapsed="false">
      <c r="A442" s="2" t="n">
        <v>800441</v>
      </c>
      <c r="B442" s="2" t="s">
        <v>350</v>
      </c>
      <c r="C442" s="2" t="s">
        <v>84</v>
      </c>
      <c r="D442" s="2" t="s">
        <v>85</v>
      </c>
      <c r="E442" s="2" t="s">
        <v>124</v>
      </c>
      <c r="F442" s="2" t="s">
        <v>78</v>
      </c>
      <c r="G442" s="2" t="s">
        <v>62</v>
      </c>
      <c r="H442" s="2" t="s">
        <v>26</v>
      </c>
      <c r="I442" s="2" t="s">
        <v>44</v>
      </c>
      <c r="J442" s="2" t="s">
        <v>45</v>
      </c>
      <c r="K442" s="2" t="s">
        <v>111</v>
      </c>
      <c r="L442" s="2" t="s">
        <v>132</v>
      </c>
      <c r="M442" s="2" t="n">
        <v>304</v>
      </c>
      <c r="N442" s="3" t="n">
        <v>10</v>
      </c>
      <c r="O442" s="4" t="n">
        <v>9.83</v>
      </c>
      <c r="P442" s="5" t="n">
        <v>2</v>
      </c>
      <c r="Q442" s="2" t="n">
        <v>0</v>
      </c>
      <c r="R442" s="4" t="n">
        <f aca="false">M442*O442</f>
        <v>2988.32</v>
      </c>
      <c r="S442" s="4" t="n">
        <f aca="false">R442*(P442/100)</f>
        <v>59.7664</v>
      </c>
      <c r="T442" s="4" t="n">
        <f aca="false">R442-S442</f>
        <v>2928.5536</v>
      </c>
    </row>
    <row r="443" customFormat="false" ht="15" hidden="false" customHeight="false" outlineLevel="0" collapsed="false">
      <c r="A443" s="2" t="n">
        <v>800442</v>
      </c>
      <c r="B443" s="2" t="s">
        <v>188</v>
      </c>
      <c r="C443" s="2" t="s">
        <v>41</v>
      </c>
      <c r="D443" s="2" t="s">
        <v>49</v>
      </c>
      <c r="E443" s="2" t="s">
        <v>50</v>
      </c>
      <c r="F443" s="2" t="s">
        <v>78</v>
      </c>
      <c r="G443" s="2" t="s">
        <v>125</v>
      </c>
      <c r="H443" s="2" t="s">
        <v>26</v>
      </c>
      <c r="I443" s="2" t="s">
        <v>57</v>
      </c>
      <c r="J443" s="2" t="s">
        <v>104</v>
      </c>
      <c r="K443" s="2" t="s">
        <v>59</v>
      </c>
      <c r="L443" s="2" t="s">
        <v>161</v>
      </c>
      <c r="M443" s="2" t="n">
        <v>143</v>
      </c>
      <c r="N443" s="3" t="n">
        <v>25</v>
      </c>
      <c r="O443" s="4" t="n">
        <v>23.26</v>
      </c>
      <c r="P443" s="5" t="n">
        <v>10</v>
      </c>
      <c r="Q443" s="2" t="n">
        <v>0</v>
      </c>
      <c r="R443" s="4" t="n">
        <f aca="false">M443*O443</f>
        <v>3326.18</v>
      </c>
      <c r="S443" s="4" t="n">
        <f aca="false">R443*(P443/100)</f>
        <v>332.618</v>
      </c>
      <c r="T443" s="4" t="n">
        <f aca="false">R443-S443</f>
        <v>2993.562</v>
      </c>
    </row>
    <row r="444" customFormat="false" ht="15" hidden="false" customHeight="false" outlineLevel="0" collapsed="false">
      <c r="A444" s="2" t="n">
        <v>800443</v>
      </c>
      <c r="B444" s="2" t="s">
        <v>392</v>
      </c>
      <c r="C444" s="2" t="s">
        <v>84</v>
      </c>
      <c r="D444" s="2" t="s">
        <v>164</v>
      </c>
      <c r="E444" s="2" t="s">
        <v>211</v>
      </c>
      <c r="F444" s="2" t="s">
        <v>24</v>
      </c>
      <c r="G444" s="2" t="s">
        <v>62</v>
      </c>
      <c r="H444" s="2" t="s">
        <v>26</v>
      </c>
      <c r="I444" s="2" t="s">
        <v>27</v>
      </c>
      <c r="J444" s="2" t="s">
        <v>28</v>
      </c>
      <c r="K444" s="2" t="s">
        <v>63</v>
      </c>
      <c r="L444" s="2" t="s">
        <v>64</v>
      </c>
      <c r="M444" s="2" t="n">
        <v>178</v>
      </c>
      <c r="N444" s="3" t="n">
        <v>50</v>
      </c>
      <c r="O444" s="4" t="n">
        <v>47.32</v>
      </c>
      <c r="P444" s="5" t="n">
        <v>0</v>
      </c>
      <c r="Q444" s="2" t="n">
        <v>1</v>
      </c>
      <c r="R444" s="4" t="n">
        <f aca="false">M444*O444</f>
        <v>8422.96</v>
      </c>
      <c r="S444" s="4" t="n">
        <f aca="false">R444*(P444/100)</f>
        <v>0</v>
      </c>
      <c r="T444" s="4" t="n">
        <f aca="false">R444-S444</f>
        <v>8422.96</v>
      </c>
    </row>
    <row r="445" customFormat="false" ht="15" hidden="false" customHeight="false" outlineLevel="0" collapsed="false">
      <c r="A445" s="2" t="n">
        <v>800444</v>
      </c>
      <c r="B445" s="2" t="s">
        <v>393</v>
      </c>
      <c r="C445" s="2" t="s">
        <v>32</v>
      </c>
      <c r="D445" s="2" t="s">
        <v>55</v>
      </c>
      <c r="E445" s="2" t="s">
        <v>56</v>
      </c>
      <c r="F445" s="2" t="s">
        <v>35</v>
      </c>
      <c r="G445" s="2" t="s">
        <v>90</v>
      </c>
      <c r="H445" s="2" t="s">
        <v>26</v>
      </c>
      <c r="I445" s="2" t="s">
        <v>69</v>
      </c>
      <c r="J445" s="2" t="s">
        <v>70</v>
      </c>
      <c r="K445" s="2" t="s">
        <v>39</v>
      </c>
      <c r="L445" s="2" t="s">
        <v>82</v>
      </c>
      <c r="M445" s="2" t="n">
        <v>449</v>
      </c>
      <c r="N445" s="3" t="n">
        <v>20</v>
      </c>
      <c r="O445" s="4" t="n">
        <v>19.46</v>
      </c>
      <c r="P445" s="5" t="n">
        <v>0</v>
      </c>
      <c r="Q445" s="2" t="n">
        <v>1</v>
      </c>
      <c r="R445" s="4" t="n">
        <f aca="false">M445*O445</f>
        <v>8737.54</v>
      </c>
      <c r="S445" s="4" t="n">
        <f aca="false">R445*(P445/100)</f>
        <v>0</v>
      </c>
      <c r="T445" s="4" t="n">
        <f aca="false">R445-S445</f>
        <v>8737.54</v>
      </c>
    </row>
    <row r="446" customFormat="false" ht="15" hidden="false" customHeight="false" outlineLevel="0" collapsed="false">
      <c r="A446" s="2" t="n">
        <v>800445</v>
      </c>
      <c r="B446" s="2" t="s">
        <v>304</v>
      </c>
      <c r="C446" s="2" t="s">
        <v>41</v>
      </c>
      <c r="D446" s="2" t="s">
        <v>42</v>
      </c>
      <c r="E446" s="2" t="s">
        <v>43</v>
      </c>
      <c r="F446" s="2" t="s">
        <v>87</v>
      </c>
      <c r="G446" s="2" t="s">
        <v>106</v>
      </c>
      <c r="H446" s="2" t="s">
        <v>26</v>
      </c>
      <c r="I446" s="2" t="s">
        <v>27</v>
      </c>
      <c r="J446" s="2" t="s">
        <v>28</v>
      </c>
      <c r="K446" s="2" t="s">
        <v>29</v>
      </c>
      <c r="L446" s="2" t="s">
        <v>64</v>
      </c>
      <c r="M446" s="2" t="n">
        <v>114</v>
      </c>
      <c r="N446" s="3" t="n">
        <v>30</v>
      </c>
      <c r="O446" s="4" t="n">
        <v>25.61</v>
      </c>
      <c r="P446" s="5" t="n">
        <v>5</v>
      </c>
      <c r="Q446" s="2" t="n">
        <v>0</v>
      </c>
      <c r="R446" s="4" t="n">
        <f aca="false">M446*O446</f>
        <v>2919.54</v>
      </c>
      <c r="S446" s="4" t="n">
        <f aca="false">R446*(P446/100)</f>
        <v>145.977</v>
      </c>
      <c r="T446" s="4" t="n">
        <f aca="false">R446-S446</f>
        <v>2773.563</v>
      </c>
    </row>
    <row r="447" customFormat="false" ht="15" hidden="false" customHeight="false" outlineLevel="0" collapsed="false">
      <c r="A447" s="2" t="n">
        <v>800446</v>
      </c>
      <c r="B447" s="2" t="s">
        <v>375</v>
      </c>
      <c r="C447" s="2" t="s">
        <v>32</v>
      </c>
      <c r="D447" s="2" t="s">
        <v>33</v>
      </c>
      <c r="E447" s="2" t="s">
        <v>34</v>
      </c>
      <c r="F447" s="2" t="s">
        <v>78</v>
      </c>
      <c r="G447" s="2" t="s">
        <v>137</v>
      </c>
      <c r="H447" s="2" t="s">
        <v>26</v>
      </c>
      <c r="I447" s="2" t="s">
        <v>69</v>
      </c>
      <c r="J447" s="2" t="s">
        <v>114</v>
      </c>
      <c r="K447" s="2" t="s">
        <v>29</v>
      </c>
      <c r="L447" s="2" t="s">
        <v>64</v>
      </c>
      <c r="M447" s="2" t="n">
        <v>277</v>
      </c>
      <c r="N447" s="3" t="n">
        <v>20</v>
      </c>
      <c r="O447" s="4" t="n">
        <v>19.37</v>
      </c>
      <c r="P447" s="5" t="n">
        <v>12.5</v>
      </c>
      <c r="Q447" s="2" t="n">
        <v>1</v>
      </c>
      <c r="R447" s="4" t="n">
        <f aca="false">M447*O447</f>
        <v>5365.49</v>
      </c>
      <c r="S447" s="4" t="n">
        <f aca="false">R447*(P447/100)</f>
        <v>670.68625</v>
      </c>
      <c r="T447" s="4" t="n">
        <f aca="false">R447-S447</f>
        <v>4694.80375</v>
      </c>
    </row>
    <row r="448" customFormat="false" ht="15" hidden="false" customHeight="false" outlineLevel="0" collapsed="false">
      <c r="A448" s="2" t="n">
        <v>800447</v>
      </c>
      <c r="B448" s="2" t="s">
        <v>393</v>
      </c>
      <c r="C448" s="2" t="s">
        <v>41</v>
      </c>
      <c r="D448" s="2" t="s">
        <v>42</v>
      </c>
      <c r="E448" s="2" t="s">
        <v>43</v>
      </c>
      <c r="F448" s="2" t="s">
        <v>24</v>
      </c>
      <c r="G448" s="2" t="s">
        <v>106</v>
      </c>
      <c r="H448" s="2" t="s">
        <v>26</v>
      </c>
      <c r="I448" s="2" t="s">
        <v>27</v>
      </c>
      <c r="J448" s="2" t="s">
        <v>28</v>
      </c>
      <c r="K448" s="2" t="s">
        <v>63</v>
      </c>
      <c r="L448" s="2" t="s">
        <v>132</v>
      </c>
      <c r="M448" s="2" t="n">
        <v>229</v>
      </c>
      <c r="N448" s="3" t="n">
        <v>50</v>
      </c>
      <c r="O448" s="4" t="n">
        <v>47.85</v>
      </c>
      <c r="P448" s="5" t="n">
        <v>0</v>
      </c>
      <c r="Q448" s="2" t="n">
        <v>0</v>
      </c>
      <c r="R448" s="4" t="n">
        <f aca="false">M448*O448</f>
        <v>10957.65</v>
      </c>
      <c r="S448" s="4" t="n">
        <f aca="false">R448*(P448/100)</f>
        <v>0</v>
      </c>
      <c r="T448" s="4" t="n">
        <f aca="false">R448-S448</f>
        <v>10957.65</v>
      </c>
    </row>
    <row r="449" customFormat="false" ht="15" hidden="false" customHeight="false" outlineLevel="0" collapsed="false">
      <c r="A449" s="2" t="n">
        <v>800448</v>
      </c>
      <c r="B449" s="2" t="s">
        <v>394</v>
      </c>
      <c r="C449" s="2" t="s">
        <v>32</v>
      </c>
      <c r="D449" s="2" t="s">
        <v>33</v>
      </c>
      <c r="E449" s="2" t="s">
        <v>141</v>
      </c>
      <c r="F449" s="2" t="s">
        <v>78</v>
      </c>
      <c r="G449" s="2" t="s">
        <v>106</v>
      </c>
      <c r="H449" s="2" t="s">
        <v>26</v>
      </c>
      <c r="I449" s="2" t="s">
        <v>57</v>
      </c>
      <c r="J449" s="2" t="s">
        <v>58</v>
      </c>
      <c r="K449" s="2" t="s">
        <v>59</v>
      </c>
      <c r="L449" s="2" t="s">
        <v>82</v>
      </c>
      <c r="M449" s="2" t="n">
        <v>463</v>
      </c>
      <c r="N449" s="3" t="n">
        <v>20</v>
      </c>
      <c r="O449" s="4" t="n">
        <v>18.28</v>
      </c>
      <c r="P449" s="5" t="n">
        <v>2</v>
      </c>
      <c r="Q449" s="2" t="n">
        <v>1</v>
      </c>
      <c r="R449" s="4" t="n">
        <f aca="false">M449*O449</f>
        <v>8463.64</v>
      </c>
      <c r="S449" s="4" t="n">
        <f aca="false">R449*(P449/100)</f>
        <v>169.2728</v>
      </c>
      <c r="T449" s="4" t="n">
        <f aca="false">R449-S449</f>
        <v>8294.3672</v>
      </c>
    </row>
    <row r="450" customFormat="false" ht="15" hidden="false" customHeight="false" outlineLevel="0" collapsed="false">
      <c r="A450" s="2" t="n">
        <v>800449</v>
      </c>
      <c r="B450" s="2" t="s">
        <v>189</v>
      </c>
      <c r="C450" s="2" t="s">
        <v>21</v>
      </c>
      <c r="D450" s="2" t="s">
        <v>171</v>
      </c>
      <c r="E450" s="2" t="s">
        <v>192</v>
      </c>
      <c r="F450" s="2" t="s">
        <v>87</v>
      </c>
      <c r="G450" s="2" t="s">
        <v>103</v>
      </c>
      <c r="H450" s="2" t="s">
        <v>26</v>
      </c>
      <c r="I450" s="2" t="s">
        <v>37</v>
      </c>
      <c r="J450" s="2" t="s">
        <v>38</v>
      </c>
      <c r="K450" s="2" t="s">
        <v>39</v>
      </c>
      <c r="L450" s="2" t="s">
        <v>30</v>
      </c>
      <c r="M450" s="2" t="n">
        <v>75</v>
      </c>
      <c r="N450" s="3" t="n">
        <v>30</v>
      </c>
      <c r="O450" s="4" t="n">
        <v>27.4</v>
      </c>
      <c r="P450" s="5" t="n">
        <v>0</v>
      </c>
      <c r="Q450" s="2" t="n">
        <v>0</v>
      </c>
      <c r="R450" s="4" t="n">
        <f aca="false">M450*O450</f>
        <v>2055</v>
      </c>
      <c r="S450" s="4" t="n">
        <f aca="false">R450*(P450/100)</f>
        <v>0</v>
      </c>
      <c r="T450" s="4" t="n">
        <f aca="false">R450-S450</f>
        <v>2055</v>
      </c>
    </row>
    <row r="451" customFormat="false" ht="15" hidden="false" customHeight="false" outlineLevel="0" collapsed="false">
      <c r="A451" s="2" t="n">
        <v>800450</v>
      </c>
      <c r="B451" s="2" t="s">
        <v>363</v>
      </c>
      <c r="C451" s="2" t="s">
        <v>41</v>
      </c>
      <c r="D451" s="2" t="s">
        <v>49</v>
      </c>
      <c r="E451" s="2" t="s">
        <v>50</v>
      </c>
      <c r="F451" s="2" t="s">
        <v>35</v>
      </c>
      <c r="G451" s="2" t="s">
        <v>103</v>
      </c>
      <c r="H451" s="2" t="s">
        <v>26</v>
      </c>
      <c r="I451" s="2" t="s">
        <v>37</v>
      </c>
      <c r="J451" s="2" t="s">
        <v>38</v>
      </c>
      <c r="K451" s="2" t="s">
        <v>39</v>
      </c>
      <c r="L451" s="2" t="s">
        <v>99</v>
      </c>
      <c r="M451" s="2" t="n">
        <v>169</v>
      </c>
      <c r="N451" s="3" t="n">
        <v>30</v>
      </c>
      <c r="O451" s="4" t="n">
        <v>27.35</v>
      </c>
      <c r="P451" s="5" t="n">
        <v>5</v>
      </c>
      <c r="Q451" s="2" t="n">
        <v>0</v>
      </c>
      <c r="R451" s="4" t="n">
        <f aca="false">M451*O451</f>
        <v>4622.15</v>
      </c>
      <c r="S451" s="4" t="n">
        <f aca="false">R451*(P451/100)</f>
        <v>231.1075</v>
      </c>
      <c r="T451" s="4" t="n">
        <f aca="false">R451-S451</f>
        <v>4391.0425</v>
      </c>
    </row>
    <row r="452" customFormat="false" ht="15" hidden="false" customHeight="false" outlineLevel="0" collapsed="false">
      <c r="A452" s="2" t="n">
        <v>800451</v>
      </c>
      <c r="B452" s="2" t="s">
        <v>395</v>
      </c>
      <c r="C452" s="2" t="s">
        <v>32</v>
      </c>
      <c r="D452" s="2" t="s">
        <v>151</v>
      </c>
      <c r="E452" s="2" t="s">
        <v>152</v>
      </c>
      <c r="F452" s="2" t="s">
        <v>35</v>
      </c>
      <c r="G452" s="2" t="s">
        <v>36</v>
      </c>
      <c r="H452" s="2" t="s">
        <v>26</v>
      </c>
      <c r="I452" s="2" t="s">
        <v>37</v>
      </c>
      <c r="J452" s="2" t="s">
        <v>38</v>
      </c>
      <c r="K452" s="2" t="s">
        <v>39</v>
      </c>
      <c r="L452" s="2" t="s">
        <v>60</v>
      </c>
      <c r="M452" s="2" t="n">
        <v>444</v>
      </c>
      <c r="N452" s="3" t="n">
        <v>30</v>
      </c>
      <c r="O452" s="4" t="n">
        <v>28.21</v>
      </c>
      <c r="P452" s="5" t="n">
        <v>0</v>
      </c>
      <c r="Q452" s="2" t="n">
        <v>3</v>
      </c>
      <c r="R452" s="4" t="n">
        <f aca="false">M452*O452</f>
        <v>12525.24</v>
      </c>
      <c r="S452" s="4" t="n">
        <f aca="false">R452*(P452/100)</f>
        <v>0</v>
      </c>
      <c r="T452" s="4" t="n">
        <f aca="false">R452-S452</f>
        <v>12525.24</v>
      </c>
    </row>
    <row r="453" customFormat="false" ht="15" hidden="false" customHeight="false" outlineLevel="0" collapsed="false">
      <c r="A453" s="2" t="n">
        <v>800452</v>
      </c>
      <c r="B453" s="2" t="s">
        <v>206</v>
      </c>
      <c r="C453" s="2" t="s">
        <v>32</v>
      </c>
      <c r="D453" s="2" t="s">
        <v>76</v>
      </c>
      <c r="E453" s="2" t="s">
        <v>96</v>
      </c>
      <c r="F453" s="2" t="s">
        <v>51</v>
      </c>
      <c r="G453" s="2" t="s">
        <v>103</v>
      </c>
      <c r="H453" s="2" t="s">
        <v>26</v>
      </c>
      <c r="I453" s="2" t="s">
        <v>44</v>
      </c>
      <c r="J453" s="2" t="s">
        <v>45</v>
      </c>
      <c r="K453" s="2" t="s">
        <v>111</v>
      </c>
      <c r="L453" s="2" t="s">
        <v>132</v>
      </c>
      <c r="M453" s="2" t="n">
        <v>111</v>
      </c>
      <c r="N453" s="3" t="n">
        <v>10</v>
      </c>
      <c r="O453" s="4" t="n">
        <v>9.14</v>
      </c>
      <c r="P453" s="5" t="n">
        <v>2</v>
      </c>
      <c r="Q453" s="2" t="n">
        <v>2</v>
      </c>
      <c r="R453" s="4" t="n">
        <f aca="false">M453*O453</f>
        <v>1014.54</v>
      </c>
      <c r="S453" s="4" t="n">
        <f aca="false">R453*(P453/100)</f>
        <v>20.2908</v>
      </c>
      <c r="T453" s="4" t="n">
        <f aca="false">R453-S453</f>
        <v>994.2492</v>
      </c>
    </row>
    <row r="454" customFormat="false" ht="15" hidden="false" customHeight="false" outlineLevel="0" collapsed="false">
      <c r="A454" s="2" t="n">
        <v>800453</v>
      </c>
      <c r="B454" s="2" t="s">
        <v>154</v>
      </c>
      <c r="C454" s="2" t="s">
        <v>84</v>
      </c>
      <c r="D454" s="2" t="s">
        <v>119</v>
      </c>
      <c r="E454" s="2" t="s">
        <v>120</v>
      </c>
      <c r="F454" s="2" t="s">
        <v>78</v>
      </c>
      <c r="G454" s="2" t="s">
        <v>52</v>
      </c>
      <c r="H454" s="2" t="s">
        <v>26</v>
      </c>
      <c r="I454" s="2" t="s">
        <v>69</v>
      </c>
      <c r="J454" s="2" t="s">
        <v>114</v>
      </c>
      <c r="K454" s="2" t="s">
        <v>29</v>
      </c>
      <c r="L454" s="2" t="s">
        <v>82</v>
      </c>
      <c r="M454" s="2" t="n">
        <v>63</v>
      </c>
      <c r="N454" s="3" t="n">
        <v>20</v>
      </c>
      <c r="O454" s="4" t="n">
        <v>18.47</v>
      </c>
      <c r="P454" s="5" t="n">
        <v>10</v>
      </c>
      <c r="Q454" s="2" t="n">
        <v>3</v>
      </c>
      <c r="R454" s="4" t="n">
        <f aca="false">M454*O454</f>
        <v>1163.61</v>
      </c>
      <c r="S454" s="4" t="n">
        <f aca="false">R454*(P454/100)</f>
        <v>116.361</v>
      </c>
      <c r="T454" s="4" t="n">
        <f aca="false">R454-S454</f>
        <v>1047.249</v>
      </c>
    </row>
    <row r="455" customFormat="false" ht="15" hidden="false" customHeight="false" outlineLevel="0" collapsed="false">
      <c r="A455" s="2" t="n">
        <v>800454</v>
      </c>
      <c r="B455" s="2" t="s">
        <v>115</v>
      </c>
      <c r="C455" s="2" t="s">
        <v>32</v>
      </c>
      <c r="D455" s="2" t="s">
        <v>151</v>
      </c>
      <c r="E455" s="2" t="s">
        <v>152</v>
      </c>
      <c r="F455" s="2" t="s">
        <v>78</v>
      </c>
      <c r="G455" s="2" t="s">
        <v>106</v>
      </c>
      <c r="H455" s="2" t="s">
        <v>26</v>
      </c>
      <c r="I455" s="2" t="s">
        <v>44</v>
      </c>
      <c r="J455" s="2" t="s">
        <v>126</v>
      </c>
      <c r="K455" s="2" t="s">
        <v>71</v>
      </c>
      <c r="L455" s="2" t="s">
        <v>64</v>
      </c>
      <c r="M455" s="2" t="n">
        <v>103</v>
      </c>
      <c r="N455" s="3" t="n">
        <v>20</v>
      </c>
      <c r="O455" s="4" t="n">
        <v>19.43</v>
      </c>
      <c r="P455" s="5" t="n">
        <v>0</v>
      </c>
      <c r="Q455" s="2" t="n">
        <v>0</v>
      </c>
      <c r="R455" s="4" t="n">
        <f aca="false">M455*O455</f>
        <v>2001.29</v>
      </c>
      <c r="S455" s="4" t="n">
        <f aca="false">R455*(P455/100)</f>
        <v>0</v>
      </c>
      <c r="T455" s="4" t="n">
        <f aca="false">R455-S455</f>
        <v>2001.29</v>
      </c>
    </row>
    <row r="456" customFormat="false" ht="15" hidden="false" customHeight="false" outlineLevel="0" collapsed="false">
      <c r="A456" s="2" t="n">
        <v>800455</v>
      </c>
      <c r="B456" s="2" t="s">
        <v>256</v>
      </c>
      <c r="C456" s="2" t="s">
        <v>84</v>
      </c>
      <c r="D456" s="2" t="s">
        <v>119</v>
      </c>
      <c r="E456" s="2" t="s">
        <v>201</v>
      </c>
      <c r="F456" s="2" t="s">
        <v>87</v>
      </c>
      <c r="G456" s="2" t="s">
        <v>62</v>
      </c>
      <c r="H456" s="2" t="s">
        <v>26</v>
      </c>
      <c r="I456" s="2" t="s">
        <v>27</v>
      </c>
      <c r="J456" s="2" t="s">
        <v>28</v>
      </c>
      <c r="K456" s="2" t="s">
        <v>29</v>
      </c>
      <c r="L456" s="2" t="s">
        <v>64</v>
      </c>
      <c r="M456" s="2" t="n">
        <v>123</v>
      </c>
      <c r="N456" s="3" t="n">
        <v>30</v>
      </c>
      <c r="O456" s="4" t="n">
        <v>25.51</v>
      </c>
      <c r="P456" s="5" t="n">
        <v>5</v>
      </c>
      <c r="Q456" s="2" t="n">
        <v>0</v>
      </c>
      <c r="R456" s="4" t="n">
        <f aca="false">M456*O456</f>
        <v>3137.73</v>
      </c>
      <c r="S456" s="4" t="n">
        <f aca="false">R456*(P456/100)</f>
        <v>156.8865</v>
      </c>
      <c r="T456" s="4" t="n">
        <f aca="false">R456-S456</f>
        <v>2980.8435</v>
      </c>
    </row>
    <row r="457" customFormat="false" ht="15" hidden="false" customHeight="false" outlineLevel="0" collapsed="false">
      <c r="A457" s="2" t="n">
        <v>800456</v>
      </c>
      <c r="B457" s="2" t="s">
        <v>396</v>
      </c>
      <c r="C457" s="2" t="s">
        <v>41</v>
      </c>
      <c r="D457" s="2" t="s">
        <v>42</v>
      </c>
      <c r="E457" s="2" t="s">
        <v>179</v>
      </c>
      <c r="F457" s="2" t="s">
        <v>78</v>
      </c>
      <c r="G457" s="2" t="s">
        <v>143</v>
      </c>
      <c r="H457" s="2" t="s">
        <v>26</v>
      </c>
      <c r="I457" s="2" t="s">
        <v>57</v>
      </c>
      <c r="J457" s="2" t="s">
        <v>104</v>
      </c>
      <c r="K457" s="2" t="s">
        <v>59</v>
      </c>
      <c r="L457" s="2" t="s">
        <v>99</v>
      </c>
      <c r="M457" s="2" t="n">
        <v>321</v>
      </c>
      <c r="N457" s="3" t="n">
        <v>25</v>
      </c>
      <c r="O457" s="4" t="n">
        <v>23.56</v>
      </c>
      <c r="P457" s="5" t="n">
        <v>12.5</v>
      </c>
      <c r="Q457" s="2" t="n">
        <v>1</v>
      </c>
      <c r="R457" s="4" t="n">
        <f aca="false">M457*O457</f>
        <v>7562.76</v>
      </c>
      <c r="S457" s="4" t="n">
        <f aca="false">R457*(P457/100)</f>
        <v>945.345</v>
      </c>
      <c r="T457" s="4" t="n">
        <f aca="false">R457-S457</f>
        <v>6617.415</v>
      </c>
    </row>
    <row r="458" customFormat="false" ht="15" hidden="false" customHeight="false" outlineLevel="0" collapsed="false">
      <c r="A458" s="2" t="n">
        <v>800457</v>
      </c>
      <c r="B458" s="2" t="s">
        <v>133</v>
      </c>
      <c r="C458" s="2" t="s">
        <v>21</v>
      </c>
      <c r="D458" s="2" t="s">
        <v>171</v>
      </c>
      <c r="E458" s="2" t="s">
        <v>172</v>
      </c>
      <c r="F458" s="2" t="s">
        <v>24</v>
      </c>
      <c r="G458" s="2" t="s">
        <v>90</v>
      </c>
      <c r="H458" s="2" t="s">
        <v>26</v>
      </c>
      <c r="I458" s="2" t="s">
        <v>44</v>
      </c>
      <c r="J458" s="2" t="s">
        <v>126</v>
      </c>
      <c r="K458" s="2" t="s">
        <v>71</v>
      </c>
      <c r="L458" s="2" t="s">
        <v>30</v>
      </c>
      <c r="M458" s="2" t="n">
        <v>439</v>
      </c>
      <c r="N458" s="3" t="n">
        <v>20</v>
      </c>
      <c r="O458" s="4" t="n">
        <v>19.31</v>
      </c>
      <c r="P458" s="5" t="n">
        <v>0</v>
      </c>
      <c r="Q458" s="2" t="n">
        <v>0</v>
      </c>
      <c r="R458" s="4" t="n">
        <f aca="false">M458*O458</f>
        <v>8477.09</v>
      </c>
      <c r="S458" s="4" t="n">
        <f aca="false">R458*(P458/100)</f>
        <v>0</v>
      </c>
      <c r="T458" s="4" t="n">
        <f aca="false">R458-S458</f>
        <v>8477.09</v>
      </c>
    </row>
    <row r="459" customFormat="false" ht="15" hidden="false" customHeight="false" outlineLevel="0" collapsed="false">
      <c r="A459" s="2" t="n">
        <v>800458</v>
      </c>
      <c r="B459" s="2" t="s">
        <v>178</v>
      </c>
      <c r="C459" s="2" t="s">
        <v>21</v>
      </c>
      <c r="D459" s="2" t="s">
        <v>147</v>
      </c>
      <c r="E459" s="2" t="s">
        <v>228</v>
      </c>
      <c r="F459" s="2" t="s">
        <v>24</v>
      </c>
      <c r="G459" s="2" t="s">
        <v>36</v>
      </c>
      <c r="H459" s="2" t="s">
        <v>26</v>
      </c>
      <c r="I459" s="2" t="s">
        <v>37</v>
      </c>
      <c r="J459" s="2" t="s">
        <v>38</v>
      </c>
      <c r="K459" s="2" t="s">
        <v>39</v>
      </c>
      <c r="L459" s="2" t="s">
        <v>82</v>
      </c>
      <c r="M459" s="2" t="n">
        <v>491</v>
      </c>
      <c r="N459" s="3" t="n">
        <v>30</v>
      </c>
      <c r="O459" s="4" t="n">
        <v>25.87</v>
      </c>
      <c r="P459" s="5" t="n">
        <v>0</v>
      </c>
      <c r="Q459" s="2" t="n">
        <v>1</v>
      </c>
      <c r="R459" s="4" t="n">
        <f aca="false">M459*O459</f>
        <v>12702.17</v>
      </c>
      <c r="S459" s="4" t="n">
        <f aca="false">R459*(P459/100)</f>
        <v>0</v>
      </c>
      <c r="T459" s="4" t="n">
        <f aca="false">R459-S459</f>
        <v>12702.17</v>
      </c>
    </row>
    <row r="460" customFormat="false" ht="15" hidden="false" customHeight="false" outlineLevel="0" collapsed="false">
      <c r="A460" s="2" t="n">
        <v>800459</v>
      </c>
      <c r="B460" s="2" t="s">
        <v>397</v>
      </c>
      <c r="C460" s="2" t="s">
        <v>32</v>
      </c>
      <c r="D460" s="2" t="s">
        <v>55</v>
      </c>
      <c r="E460" s="2" t="s">
        <v>56</v>
      </c>
      <c r="F460" s="2" t="s">
        <v>51</v>
      </c>
      <c r="G460" s="2" t="s">
        <v>125</v>
      </c>
      <c r="H460" s="2" t="s">
        <v>26</v>
      </c>
      <c r="I460" s="2" t="s">
        <v>37</v>
      </c>
      <c r="J460" s="2" t="s">
        <v>38</v>
      </c>
      <c r="K460" s="2" t="s">
        <v>39</v>
      </c>
      <c r="L460" s="2" t="s">
        <v>132</v>
      </c>
      <c r="M460" s="2" t="n">
        <v>67</v>
      </c>
      <c r="N460" s="3" t="n">
        <v>30</v>
      </c>
      <c r="O460" s="4" t="n">
        <v>28.73</v>
      </c>
      <c r="P460" s="5" t="n">
        <v>7.5</v>
      </c>
      <c r="Q460" s="2" t="n">
        <v>1</v>
      </c>
      <c r="R460" s="4" t="n">
        <f aca="false">M460*O460</f>
        <v>1924.91</v>
      </c>
      <c r="S460" s="4" t="n">
        <f aca="false">R460*(P460/100)</f>
        <v>144.36825</v>
      </c>
      <c r="T460" s="4" t="n">
        <f aca="false">R460-S460</f>
        <v>1780.54175</v>
      </c>
    </row>
    <row r="461" customFormat="false" ht="15" hidden="false" customHeight="false" outlineLevel="0" collapsed="false">
      <c r="A461" s="2" t="n">
        <v>800460</v>
      </c>
      <c r="B461" s="2" t="s">
        <v>154</v>
      </c>
      <c r="C461" s="2" t="s">
        <v>21</v>
      </c>
      <c r="D461" s="2" t="s">
        <v>101</v>
      </c>
      <c r="E461" s="2" t="s">
        <v>122</v>
      </c>
      <c r="F461" s="2" t="s">
        <v>87</v>
      </c>
      <c r="G461" s="2" t="s">
        <v>94</v>
      </c>
      <c r="H461" s="2" t="s">
        <v>26</v>
      </c>
      <c r="I461" s="2" t="s">
        <v>27</v>
      </c>
      <c r="J461" s="2" t="s">
        <v>28</v>
      </c>
      <c r="K461" s="2" t="s">
        <v>29</v>
      </c>
      <c r="L461" s="2" t="s">
        <v>107</v>
      </c>
      <c r="M461" s="2" t="n">
        <v>188</v>
      </c>
      <c r="N461" s="3" t="n">
        <v>30</v>
      </c>
      <c r="O461" s="4" t="n">
        <v>27.71</v>
      </c>
      <c r="P461" s="5" t="n">
        <v>2</v>
      </c>
      <c r="Q461" s="2" t="n">
        <v>0</v>
      </c>
      <c r="R461" s="4" t="n">
        <f aca="false">M461*O461</f>
        <v>5209.48</v>
      </c>
      <c r="S461" s="4" t="n">
        <f aca="false">R461*(P461/100)</f>
        <v>104.1896</v>
      </c>
      <c r="T461" s="4" t="n">
        <f aca="false">R461-S461</f>
        <v>5105.2904</v>
      </c>
    </row>
    <row r="462" customFormat="false" ht="15" hidden="false" customHeight="false" outlineLevel="0" collapsed="false">
      <c r="A462" s="2" t="n">
        <v>800461</v>
      </c>
      <c r="B462" s="2" t="s">
        <v>371</v>
      </c>
      <c r="C462" s="2" t="s">
        <v>21</v>
      </c>
      <c r="D462" s="2" t="s">
        <v>22</v>
      </c>
      <c r="E462" s="2" t="s">
        <v>109</v>
      </c>
      <c r="F462" s="2" t="s">
        <v>51</v>
      </c>
      <c r="G462" s="2" t="s">
        <v>125</v>
      </c>
      <c r="H462" s="2" t="s">
        <v>26</v>
      </c>
      <c r="I462" s="2" t="s">
        <v>37</v>
      </c>
      <c r="J462" s="2" t="s">
        <v>38</v>
      </c>
      <c r="K462" s="2" t="s">
        <v>39</v>
      </c>
      <c r="L462" s="2" t="s">
        <v>161</v>
      </c>
      <c r="M462" s="2" t="n">
        <v>331</v>
      </c>
      <c r="N462" s="3" t="n">
        <v>30</v>
      </c>
      <c r="O462" s="4" t="n">
        <v>29.06</v>
      </c>
      <c r="P462" s="5" t="n">
        <v>5</v>
      </c>
      <c r="Q462" s="2" t="n">
        <v>3</v>
      </c>
      <c r="R462" s="4" t="n">
        <f aca="false">M462*O462</f>
        <v>9618.86</v>
      </c>
      <c r="S462" s="4" t="n">
        <f aca="false">R462*(P462/100)</f>
        <v>480.943</v>
      </c>
      <c r="T462" s="4" t="n">
        <f aca="false">R462-S462</f>
        <v>9137.917</v>
      </c>
    </row>
    <row r="463" customFormat="false" ht="15" hidden="false" customHeight="false" outlineLevel="0" collapsed="false">
      <c r="A463" s="2" t="n">
        <v>800462</v>
      </c>
      <c r="B463" s="2" t="s">
        <v>398</v>
      </c>
      <c r="C463" s="2" t="s">
        <v>84</v>
      </c>
      <c r="D463" s="2" t="s">
        <v>85</v>
      </c>
      <c r="E463" s="2" t="s">
        <v>124</v>
      </c>
      <c r="F463" s="2" t="s">
        <v>35</v>
      </c>
      <c r="G463" s="2" t="s">
        <v>125</v>
      </c>
      <c r="H463" s="2" t="s">
        <v>26</v>
      </c>
      <c r="I463" s="2" t="s">
        <v>57</v>
      </c>
      <c r="J463" s="2" t="s">
        <v>58</v>
      </c>
      <c r="K463" s="2" t="s">
        <v>59</v>
      </c>
      <c r="L463" s="2" t="s">
        <v>64</v>
      </c>
      <c r="M463" s="2" t="n">
        <v>472</v>
      </c>
      <c r="N463" s="3" t="n">
        <v>20</v>
      </c>
      <c r="O463" s="4" t="n">
        <v>18.71</v>
      </c>
      <c r="P463" s="5" t="n">
        <v>5</v>
      </c>
      <c r="Q463" s="2" t="n">
        <v>0</v>
      </c>
      <c r="R463" s="4" t="n">
        <f aca="false">M463*O463</f>
        <v>8831.12</v>
      </c>
      <c r="S463" s="4" t="n">
        <f aca="false">R463*(P463/100)</f>
        <v>441.556</v>
      </c>
      <c r="T463" s="4" t="n">
        <f aca="false">R463-S463</f>
        <v>8389.564</v>
      </c>
    </row>
    <row r="464" customFormat="false" ht="15" hidden="false" customHeight="false" outlineLevel="0" collapsed="false">
      <c r="A464" s="2" t="n">
        <v>800463</v>
      </c>
      <c r="B464" s="2" t="s">
        <v>302</v>
      </c>
      <c r="C464" s="2" t="s">
        <v>21</v>
      </c>
      <c r="D464" s="2" t="s">
        <v>22</v>
      </c>
      <c r="E464" s="2" t="s">
        <v>23</v>
      </c>
      <c r="F464" s="2" t="s">
        <v>78</v>
      </c>
      <c r="G464" s="2" t="s">
        <v>125</v>
      </c>
      <c r="H464" s="2" t="s">
        <v>26</v>
      </c>
      <c r="I464" s="2" t="s">
        <v>27</v>
      </c>
      <c r="J464" s="2" t="s">
        <v>98</v>
      </c>
      <c r="K464" s="2" t="s">
        <v>46</v>
      </c>
      <c r="L464" s="2" t="s">
        <v>161</v>
      </c>
      <c r="M464" s="2" t="n">
        <v>43</v>
      </c>
      <c r="N464" s="3" t="n">
        <v>99</v>
      </c>
      <c r="O464" s="4" t="n">
        <v>88.78</v>
      </c>
      <c r="P464" s="5" t="n">
        <v>2</v>
      </c>
      <c r="Q464" s="2" t="n">
        <v>0</v>
      </c>
      <c r="R464" s="4" t="n">
        <f aca="false">M464*O464</f>
        <v>3817.54</v>
      </c>
      <c r="S464" s="4" t="n">
        <f aca="false">R464*(P464/100)</f>
        <v>76.3508</v>
      </c>
      <c r="T464" s="4" t="n">
        <f aca="false">R464-S464</f>
        <v>3741.1892</v>
      </c>
    </row>
    <row r="465" customFormat="false" ht="15" hidden="false" customHeight="false" outlineLevel="0" collapsed="false">
      <c r="A465" s="2" t="n">
        <v>800464</v>
      </c>
      <c r="B465" s="2" t="s">
        <v>350</v>
      </c>
      <c r="C465" s="2" t="s">
        <v>32</v>
      </c>
      <c r="D465" s="2" t="s">
        <v>55</v>
      </c>
      <c r="E465" s="2" t="s">
        <v>93</v>
      </c>
      <c r="F465" s="2" t="s">
        <v>78</v>
      </c>
      <c r="G465" s="2" t="s">
        <v>68</v>
      </c>
      <c r="H465" s="2" t="s">
        <v>26</v>
      </c>
      <c r="I465" s="2" t="s">
        <v>44</v>
      </c>
      <c r="J465" s="2" t="s">
        <v>126</v>
      </c>
      <c r="K465" s="2" t="s">
        <v>71</v>
      </c>
      <c r="L465" s="2" t="s">
        <v>30</v>
      </c>
      <c r="M465" s="2" t="n">
        <v>185</v>
      </c>
      <c r="N465" s="3" t="n">
        <v>20</v>
      </c>
      <c r="O465" s="4" t="n">
        <v>19.15</v>
      </c>
      <c r="P465" s="5" t="n">
        <v>0</v>
      </c>
      <c r="Q465" s="2" t="n">
        <v>1</v>
      </c>
      <c r="R465" s="4" t="n">
        <f aca="false">M465*O465</f>
        <v>3542.75</v>
      </c>
      <c r="S465" s="4" t="n">
        <f aca="false">R465*(P465/100)</f>
        <v>0</v>
      </c>
      <c r="T465" s="4" t="n">
        <f aca="false">R465-S465</f>
        <v>3542.75</v>
      </c>
    </row>
    <row r="466" customFormat="false" ht="15" hidden="false" customHeight="false" outlineLevel="0" collapsed="false">
      <c r="A466" s="2" t="n">
        <v>800465</v>
      </c>
      <c r="B466" s="2" t="s">
        <v>207</v>
      </c>
      <c r="C466" s="2" t="s">
        <v>41</v>
      </c>
      <c r="D466" s="2" t="s">
        <v>49</v>
      </c>
      <c r="E466" s="2" t="s">
        <v>50</v>
      </c>
      <c r="F466" s="2" t="s">
        <v>24</v>
      </c>
      <c r="G466" s="2" t="s">
        <v>25</v>
      </c>
      <c r="H466" s="2" t="s">
        <v>26</v>
      </c>
      <c r="I466" s="2" t="s">
        <v>44</v>
      </c>
      <c r="J466" s="2" t="s">
        <v>45</v>
      </c>
      <c r="K466" s="2" t="s">
        <v>111</v>
      </c>
      <c r="L466" s="2" t="s">
        <v>60</v>
      </c>
      <c r="M466" s="2" t="n">
        <v>489</v>
      </c>
      <c r="N466" s="3" t="n">
        <v>10</v>
      </c>
      <c r="O466" s="4" t="n">
        <v>9.16</v>
      </c>
      <c r="P466" s="5" t="n">
        <v>0</v>
      </c>
      <c r="Q466" s="2" t="n">
        <v>0</v>
      </c>
      <c r="R466" s="4" t="n">
        <f aca="false">M466*O466</f>
        <v>4479.24</v>
      </c>
      <c r="S466" s="4" t="n">
        <f aca="false">R466*(P466/100)</f>
        <v>0</v>
      </c>
      <c r="T466" s="4" t="n">
        <f aca="false">R466-S466</f>
        <v>4479.24</v>
      </c>
    </row>
    <row r="467" customFormat="false" ht="15" hidden="false" customHeight="false" outlineLevel="0" collapsed="false">
      <c r="A467" s="2" t="n">
        <v>800466</v>
      </c>
      <c r="B467" s="2" t="s">
        <v>346</v>
      </c>
      <c r="C467" s="2" t="s">
        <v>32</v>
      </c>
      <c r="D467" s="2" t="s">
        <v>151</v>
      </c>
      <c r="E467" s="2" t="s">
        <v>152</v>
      </c>
      <c r="F467" s="2" t="s">
        <v>51</v>
      </c>
      <c r="G467" s="2" t="s">
        <v>103</v>
      </c>
      <c r="H467" s="2" t="s">
        <v>26</v>
      </c>
      <c r="I467" s="2" t="s">
        <v>69</v>
      </c>
      <c r="J467" s="2" t="s">
        <v>81</v>
      </c>
      <c r="K467" s="2" t="s">
        <v>39</v>
      </c>
      <c r="L467" s="2" t="s">
        <v>53</v>
      </c>
      <c r="M467" s="2" t="n">
        <v>391</v>
      </c>
      <c r="N467" s="3" t="n">
        <v>20</v>
      </c>
      <c r="O467" s="4" t="n">
        <v>18.9</v>
      </c>
      <c r="P467" s="5" t="n">
        <v>0</v>
      </c>
      <c r="Q467" s="2" t="n">
        <v>0</v>
      </c>
      <c r="R467" s="4" t="n">
        <f aca="false">M467*O467</f>
        <v>7389.9</v>
      </c>
      <c r="S467" s="4" t="n">
        <f aca="false">R467*(P467/100)</f>
        <v>0</v>
      </c>
      <c r="T467" s="4" t="n">
        <f aca="false">R467-S467</f>
        <v>7389.9</v>
      </c>
    </row>
    <row r="468" customFormat="false" ht="15" hidden="false" customHeight="false" outlineLevel="0" collapsed="false">
      <c r="A468" s="2" t="n">
        <v>800467</v>
      </c>
      <c r="B468" s="2" t="s">
        <v>399</v>
      </c>
      <c r="C468" s="2" t="s">
        <v>84</v>
      </c>
      <c r="D468" s="2" t="s">
        <v>119</v>
      </c>
      <c r="E468" s="2" t="s">
        <v>120</v>
      </c>
      <c r="F468" s="2" t="s">
        <v>24</v>
      </c>
      <c r="G468" s="2" t="s">
        <v>68</v>
      </c>
      <c r="H468" s="2" t="s">
        <v>26</v>
      </c>
      <c r="I468" s="2" t="s">
        <v>69</v>
      </c>
      <c r="J468" s="2" t="s">
        <v>81</v>
      </c>
      <c r="K468" s="2" t="s">
        <v>71</v>
      </c>
      <c r="L468" s="2" t="s">
        <v>161</v>
      </c>
      <c r="M468" s="2" t="n">
        <v>340</v>
      </c>
      <c r="N468" s="3" t="n">
        <v>40</v>
      </c>
      <c r="O468" s="4" t="n">
        <v>36.99</v>
      </c>
      <c r="P468" s="5" t="n">
        <v>0</v>
      </c>
      <c r="Q468" s="2" t="n">
        <v>1</v>
      </c>
      <c r="R468" s="4" t="n">
        <f aca="false">M468*O468</f>
        <v>12576.6</v>
      </c>
      <c r="S468" s="4" t="n">
        <f aca="false">R468*(P468/100)</f>
        <v>0</v>
      </c>
      <c r="T468" s="4" t="n">
        <f aca="false">R468-S468</f>
        <v>12576.6</v>
      </c>
    </row>
    <row r="469" customFormat="false" ht="15" hidden="false" customHeight="false" outlineLevel="0" collapsed="false">
      <c r="A469" s="2" t="n">
        <v>800468</v>
      </c>
      <c r="B469" s="2" t="s">
        <v>320</v>
      </c>
      <c r="C469" s="2" t="s">
        <v>21</v>
      </c>
      <c r="D469" s="2" t="s">
        <v>147</v>
      </c>
      <c r="E469" s="2" t="s">
        <v>148</v>
      </c>
      <c r="F469" s="2" t="s">
        <v>87</v>
      </c>
      <c r="G469" s="2" t="s">
        <v>125</v>
      </c>
      <c r="H469" s="2" t="s">
        <v>26</v>
      </c>
      <c r="I469" s="2" t="s">
        <v>69</v>
      </c>
      <c r="J469" s="2" t="s">
        <v>81</v>
      </c>
      <c r="K469" s="2" t="s">
        <v>39</v>
      </c>
      <c r="L469" s="2" t="s">
        <v>161</v>
      </c>
      <c r="M469" s="2" t="n">
        <v>64</v>
      </c>
      <c r="N469" s="3" t="n">
        <v>20</v>
      </c>
      <c r="O469" s="4" t="n">
        <v>18.39</v>
      </c>
      <c r="P469" s="5" t="n">
        <v>2</v>
      </c>
      <c r="Q469" s="2" t="n">
        <v>1</v>
      </c>
      <c r="R469" s="4" t="n">
        <f aca="false">M469*O469</f>
        <v>1176.96</v>
      </c>
      <c r="S469" s="4" t="n">
        <f aca="false">R469*(P469/100)</f>
        <v>23.5392</v>
      </c>
      <c r="T469" s="4" t="n">
        <f aca="false">R469-S469</f>
        <v>1153.4208</v>
      </c>
    </row>
    <row r="470" customFormat="false" ht="15" hidden="false" customHeight="false" outlineLevel="0" collapsed="false">
      <c r="A470" s="2" t="n">
        <v>800469</v>
      </c>
      <c r="B470" s="2" t="s">
        <v>400</v>
      </c>
      <c r="C470" s="2" t="s">
        <v>84</v>
      </c>
      <c r="D470" s="2" t="s">
        <v>85</v>
      </c>
      <c r="E470" s="2" t="s">
        <v>124</v>
      </c>
      <c r="F470" s="2" t="s">
        <v>24</v>
      </c>
      <c r="G470" s="2" t="s">
        <v>52</v>
      </c>
      <c r="H470" s="2" t="s">
        <v>26</v>
      </c>
      <c r="I470" s="2" t="s">
        <v>44</v>
      </c>
      <c r="J470" s="2" t="s">
        <v>45</v>
      </c>
      <c r="K470" s="2" t="s">
        <v>46</v>
      </c>
      <c r="L470" s="2" t="s">
        <v>99</v>
      </c>
      <c r="M470" s="2" t="n">
        <v>487</v>
      </c>
      <c r="N470" s="3" t="n">
        <v>20</v>
      </c>
      <c r="O470" s="4" t="n">
        <v>17.26</v>
      </c>
      <c r="P470" s="5" t="n">
        <v>0</v>
      </c>
      <c r="Q470" s="2" t="n">
        <v>2</v>
      </c>
      <c r="R470" s="4" t="n">
        <f aca="false">M470*O470</f>
        <v>8405.62</v>
      </c>
      <c r="S470" s="4" t="n">
        <f aca="false">R470*(P470/100)</f>
        <v>0</v>
      </c>
      <c r="T470" s="4" t="n">
        <f aca="false">R470-S470</f>
        <v>8405.62</v>
      </c>
    </row>
    <row r="471" customFormat="false" ht="15" hidden="false" customHeight="false" outlineLevel="0" collapsed="false">
      <c r="A471" s="2" t="n">
        <v>800470</v>
      </c>
      <c r="B471" s="2" t="s">
        <v>342</v>
      </c>
      <c r="C471" s="2" t="s">
        <v>32</v>
      </c>
      <c r="D471" s="2" t="s">
        <v>33</v>
      </c>
      <c r="E471" s="2" t="s">
        <v>187</v>
      </c>
      <c r="F471" s="2" t="s">
        <v>51</v>
      </c>
      <c r="G471" s="2" t="s">
        <v>125</v>
      </c>
      <c r="H471" s="2" t="s">
        <v>26</v>
      </c>
      <c r="I471" s="2" t="s">
        <v>37</v>
      </c>
      <c r="J471" s="2" t="s">
        <v>38</v>
      </c>
      <c r="K471" s="2" t="s">
        <v>39</v>
      </c>
      <c r="L471" s="2" t="s">
        <v>82</v>
      </c>
      <c r="M471" s="2" t="n">
        <v>93</v>
      </c>
      <c r="N471" s="3" t="n">
        <v>30</v>
      </c>
      <c r="O471" s="4" t="n">
        <v>28.73</v>
      </c>
      <c r="P471" s="5" t="n">
        <v>0</v>
      </c>
      <c r="Q471" s="2" t="n">
        <v>3</v>
      </c>
      <c r="R471" s="4" t="n">
        <f aca="false">M471*O471</f>
        <v>2671.89</v>
      </c>
      <c r="S471" s="4" t="n">
        <f aca="false">R471*(P471/100)</f>
        <v>0</v>
      </c>
      <c r="T471" s="4" t="n">
        <f aca="false">R471-S471</f>
        <v>2671.89</v>
      </c>
    </row>
    <row r="472" customFormat="false" ht="15" hidden="false" customHeight="false" outlineLevel="0" collapsed="false">
      <c r="A472" s="2" t="n">
        <v>800471</v>
      </c>
      <c r="B472" s="2" t="s">
        <v>160</v>
      </c>
      <c r="C472" s="2" t="s">
        <v>32</v>
      </c>
      <c r="D472" s="2" t="s">
        <v>33</v>
      </c>
      <c r="E472" s="2" t="s">
        <v>34</v>
      </c>
      <c r="F472" s="2" t="s">
        <v>78</v>
      </c>
      <c r="G472" s="2" t="s">
        <v>94</v>
      </c>
      <c r="H472" s="2" t="s">
        <v>26</v>
      </c>
      <c r="I472" s="2" t="s">
        <v>57</v>
      </c>
      <c r="J472" s="2" t="s">
        <v>104</v>
      </c>
      <c r="K472" s="2" t="s">
        <v>59</v>
      </c>
      <c r="L472" s="2" t="s">
        <v>132</v>
      </c>
      <c r="M472" s="2" t="n">
        <v>179</v>
      </c>
      <c r="N472" s="3" t="n">
        <v>25</v>
      </c>
      <c r="O472" s="4" t="n">
        <v>24.51</v>
      </c>
      <c r="P472" s="5" t="n">
        <v>0</v>
      </c>
      <c r="Q472" s="2" t="n">
        <v>1</v>
      </c>
      <c r="R472" s="4" t="n">
        <f aca="false">M472*O472</f>
        <v>4387.29</v>
      </c>
      <c r="S472" s="4" t="n">
        <f aca="false">R472*(P472/100)</f>
        <v>0</v>
      </c>
      <c r="T472" s="4" t="n">
        <f aca="false">R472-S472</f>
        <v>4387.29</v>
      </c>
    </row>
    <row r="473" customFormat="false" ht="15" hidden="false" customHeight="false" outlineLevel="0" collapsed="false">
      <c r="A473" s="2" t="n">
        <v>800472</v>
      </c>
      <c r="B473" s="2" t="s">
        <v>88</v>
      </c>
      <c r="C473" s="2" t="s">
        <v>21</v>
      </c>
      <c r="D473" s="2" t="s">
        <v>22</v>
      </c>
      <c r="E473" s="2" t="s">
        <v>23</v>
      </c>
      <c r="F473" s="2" t="s">
        <v>78</v>
      </c>
      <c r="G473" s="2" t="s">
        <v>143</v>
      </c>
      <c r="H473" s="2" t="s">
        <v>26</v>
      </c>
      <c r="I473" s="2" t="s">
        <v>44</v>
      </c>
      <c r="J473" s="2" t="s">
        <v>126</v>
      </c>
      <c r="K473" s="2" t="s">
        <v>71</v>
      </c>
      <c r="L473" s="2" t="s">
        <v>99</v>
      </c>
      <c r="M473" s="2" t="n">
        <v>184</v>
      </c>
      <c r="N473" s="3" t="n">
        <v>20</v>
      </c>
      <c r="O473" s="4" t="n">
        <v>17.56</v>
      </c>
      <c r="P473" s="5" t="n">
        <v>5</v>
      </c>
      <c r="Q473" s="2" t="n">
        <v>0</v>
      </c>
      <c r="R473" s="4" t="n">
        <f aca="false">M473*O473</f>
        <v>3231.04</v>
      </c>
      <c r="S473" s="4" t="n">
        <f aca="false">R473*(P473/100)</f>
        <v>161.552</v>
      </c>
      <c r="T473" s="4" t="n">
        <f aca="false">R473-S473</f>
        <v>3069.488</v>
      </c>
    </row>
    <row r="474" customFormat="false" ht="15" hidden="false" customHeight="false" outlineLevel="0" collapsed="false">
      <c r="A474" s="2" t="n">
        <v>800473</v>
      </c>
      <c r="B474" s="2" t="s">
        <v>401</v>
      </c>
      <c r="C474" s="2" t="s">
        <v>84</v>
      </c>
      <c r="D474" s="2" t="s">
        <v>164</v>
      </c>
      <c r="E474" s="2" t="s">
        <v>211</v>
      </c>
      <c r="F474" s="2" t="s">
        <v>87</v>
      </c>
      <c r="G474" s="2" t="s">
        <v>106</v>
      </c>
      <c r="H474" s="2" t="s">
        <v>26</v>
      </c>
      <c r="I474" s="2" t="s">
        <v>27</v>
      </c>
      <c r="J474" s="2" t="s">
        <v>91</v>
      </c>
      <c r="K474" s="2" t="s">
        <v>29</v>
      </c>
      <c r="L474" s="2" t="s">
        <v>47</v>
      </c>
      <c r="M474" s="2" t="n">
        <v>27</v>
      </c>
      <c r="N474" s="3" t="n">
        <v>35</v>
      </c>
      <c r="O474" s="4" t="n">
        <v>34.45</v>
      </c>
      <c r="P474" s="5" t="n">
        <v>0</v>
      </c>
      <c r="Q474" s="2" t="n">
        <v>0</v>
      </c>
      <c r="R474" s="4" t="n">
        <f aca="false">M474*O474</f>
        <v>930.15</v>
      </c>
      <c r="S474" s="4" t="n">
        <f aca="false">R474*(P474/100)</f>
        <v>0</v>
      </c>
      <c r="T474" s="4" t="n">
        <f aca="false">R474-S474</f>
        <v>930.15</v>
      </c>
    </row>
    <row r="475" customFormat="false" ht="15" hidden="false" customHeight="false" outlineLevel="0" collapsed="false">
      <c r="A475" s="2" t="n">
        <v>800474</v>
      </c>
      <c r="B475" s="2" t="s">
        <v>249</v>
      </c>
      <c r="C475" s="2" t="s">
        <v>84</v>
      </c>
      <c r="D475" s="2" t="s">
        <v>119</v>
      </c>
      <c r="E475" s="2" t="s">
        <v>201</v>
      </c>
      <c r="F475" s="2" t="s">
        <v>24</v>
      </c>
      <c r="G475" s="2" t="s">
        <v>125</v>
      </c>
      <c r="H475" s="2" t="s">
        <v>26</v>
      </c>
      <c r="I475" s="2" t="s">
        <v>44</v>
      </c>
      <c r="J475" s="2" t="s">
        <v>126</v>
      </c>
      <c r="K475" s="2" t="s">
        <v>71</v>
      </c>
      <c r="L475" s="2" t="s">
        <v>99</v>
      </c>
      <c r="M475" s="2" t="n">
        <v>107</v>
      </c>
      <c r="N475" s="3" t="n">
        <v>20</v>
      </c>
      <c r="O475" s="4" t="n">
        <v>17.2</v>
      </c>
      <c r="P475" s="5" t="n">
        <v>7.5</v>
      </c>
      <c r="Q475" s="2" t="n">
        <v>3</v>
      </c>
      <c r="R475" s="4" t="n">
        <f aca="false">M475*O475</f>
        <v>1840.4</v>
      </c>
      <c r="S475" s="4" t="n">
        <f aca="false">R475*(P475/100)</f>
        <v>138.03</v>
      </c>
      <c r="T475" s="4" t="n">
        <f aca="false">R475-S475</f>
        <v>1702.37</v>
      </c>
    </row>
    <row r="476" customFormat="false" ht="15" hidden="false" customHeight="false" outlineLevel="0" collapsed="false">
      <c r="A476" s="2" t="n">
        <v>800475</v>
      </c>
      <c r="B476" s="2" t="s">
        <v>303</v>
      </c>
      <c r="C476" s="2" t="s">
        <v>21</v>
      </c>
      <c r="D476" s="2" t="s">
        <v>116</v>
      </c>
      <c r="E476" s="2" t="s">
        <v>117</v>
      </c>
      <c r="F476" s="2" t="s">
        <v>51</v>
      </c>
      <c r="G476" s="2" t="s">
        <v>62</v>
      </c>
      <c r="H476" s="2" t="s">
        <v>26</v>
      </c>
      <c r="I476" s="2" t="s">
        <v>69</v>
      </c>
      <c r="J476" s="2" t="s">
        <v>134</v>
      </c>
      <c r="K476" s="2" t="s">
        <v>71</v>
      </c>
      <c r="L476" s="2" t="s">
        <v>161</v>
      </c>
      <c r="M476" s="2" t="n">
        <v>47</v>
      </c>
      <c r="N476" s="3" t="n">
        <v>40</v>
      </c>
      <c r="O476" s="4" t="n">
        <v>34.48</v>
      </c>
      <c r="P476" s="5" t="n">
        <v>10</v>
      </c>
      <c r="Q476" s="2" t="n">
        <v>0</v>
      </c>
      <c r="R476" s="4" t="n">
        <f aca="false">M476*O476</f>
        <v>1620.56</v>
      </c>
      <c r="S476" s="4" t="n">
        <f aca="false">R476*(P476/100)</f>
        <v>162.056</v>
      </c>
      <c r="T476" s="4" t="n">
        <f aca="false">R476-S476</f>
        <v>1458.504</v>
      </c>
    </row>
    <row r="477" customFormat="false" ht="15" hidden="false" customHeight="false" outlineLevel="0" collapsed="false">
      <c r="A477" s="2" t="n">
        <v>800476</v>
      </c>
      <c r="B477" s="2" t="s">
        <v>153</v>
      </c>
      <c r="C477" s="2" t="s">
        <v>41</v>
      </c>
      <c r="D477" s="2" t="s">
        <v>49</v>
      </c>
      <c r="E477" s="2" t="s">
        <v>80</v>
      </c>
      <c r="F477" s="2" t="s">
        <v>87</v>
      </c>
      <c r="G477" s="2" t="s">
        <v>137</v>
      </c>
      <c r="H477" s="2" t="s">
        <v>26</v>
      </c>
      <c r="I477" s="2" t="s">
        <v>27</v>
      </c>
      <c r="J477" s="2" t="s">
        <v>28</v>
      </c>
      <c r="K477" s="2" t="s">
        <v>29</v>
      </c>
      <c r="L477" s="2" t="s">
        <v>60</v>
      </c>
      <c r="M477" s="2" t="n">
        <v>310</v>
      </c>
      <c r="N477" s="3" t="n">
        <v>30</v>
      </c>
      <c r="O477" s="4" t="n">
        <v>26.05</v>
      </c>
      <c r="P477" s="5" t="n">
        <v>12.5</v>
      </c>
      <c r="Q477" s="2" t="n">
        <v>0</v>
      </c>
      <c r="R477" s="4" t="n">
        <f aca="false">M477*O477</f>
        <v>8075.5</v>
      </c>
      <c r="S477" s="4" t="n">
        <f aca="false">R477*(P477/100)</f>
        <v>1009.4375</v>
      </c>
      <c r="T477" s="4" t="n">
        <f aca="false">R477-S477</f>
        <v>7066.0625</v>
      </c>
    </row>
    <row r="478" customFormat="false" ht="15" hidden="false" customHeight="false" outlineLevel="0" collapsed="false">
      <c r="A478" s="2" t="n">
        <v>800477</v>
      </c>
      <c r="B478" s="2" t="s">
        <v>210</v>
      </c>
      <c r="C478" s="2" t="s">
        <v>84</v>
      </c>
      <c r="D478" s="2" t="s">
        <v>164</v>
      </c>
      <c r="E478" s="2" t="s">
        <v>165</v>
      </c>
      <c r="F478" s="2" t="s">
        <v>24</v>
      </c>
      <c r="G478" s="2" t="s">
        <v>25</v>
      </c>
      <c r="H478" s="2" t="s">
        <v>26</v>
      </c>
      <c r="I478" s="2" t="s">
        <v>27</v>
      </c>
      <c r="J478" s="2" t="s">
        <v>91</v>
      </c>
      <c r="K478" s="2" t="s">
        <v>29</v>
      </c>
      <c r="L478" s="2" t="s">
        <v>82</v>
      </c>
      <c r="M478" s="2" t="n">
        <v>220</v>
      </c>
      <c r="N478" s="3" t="n">
        <v>35</v>
      </c>
      <c r="O478" s="4" t="n">
        <v>30.65</v>
      </c>
      <c r="P478" s="5" t="n">
        <v>7.5</v>
      </c>
      <c r="Q478" s="2" t="n">
        <v>1</v>
      </c>
      <c r="R478" s="4" t="n">
        <f aca="false">M478*O478</f>
        <v>6743</v>
      </c>
      <c r="S478" s="4" t="n">
        <f aca="false">R478*(P478/100)</f>
        <v>505.725</v>
      </c>
      <c r="T478" s="4" t="n">
        <f aca="false">R478-S478</f>
        <v>6237.275</v>
      </c>
    </row>
    <row r="479" customFormat="false" ht="15" hidden="false" customHeight="false" outlineLevel="0" collapsed="false">
      <c r="A479" s="2" t="n">
        <v>800478</v>
      </c>
      <c r="B479" s="2" t="s">
        <v>112</v>
      </c>
      <c r="C479" s="2" t="s">
        <v>41</v>
      </c>
      <c r="D479" s="2" t="s">
        <v>73</v>
      </c>
      <c r="E479" s="2" t="s">
        <v>136</v>
      </c>
      <c r="F479" s="2" t="s">
        <v>51</v>
      </c>
      <c r="G479" s="2" t="s">
        <v>52</v>
      </c>
      <c r="H479" s="2" t="s">
        <v>26</v>
      </c>
      <c r="I479" s="2" t="s">
        <v>44</v>
      </c>
      <c r="J479" s="2" t="s">
        <v>45</v>
      </c>
      <c r="K479" s="2" t="s">
        <v>111</v>
      </c>
      <c r="L479" s="2" t="s">
        <v>60</v>
      </c>
      <c r="M479" s="2" t="n">
        <v>453</v>
      </c>
      <c r="N479" s="3" t="n">
        <v>10</v>
      </c>
      <c r="O479" s="4" t="n">
        <v>8.74</v>
      </c>
      <c r="P479" s="5" t="n">
        <v>7.5</v>
      </c>
      <c r="Q479" s="2" t="n">
        <v>0</v>
      </c>
      <c r="R479" s="4" t="n">
        <f aca="false">M479*O479</f>
        <v>3959.22</v>
      </c>
      <c r="S479" s="4" t="n">
        <f aca="false">R479*(P479/100)</f>
        <v>296.9415</v>
      </c>
      <c r="T479" s="4" t="n">
        <f aca="false">R479-S479</f>
        <v>3662.2785</v>
      </c>
    </row>
    <row r="480" customFormat="false" ht="15" hidden="false" customHeight="false" outlineLevel="0" collapsed="false">
      <c r="A480" s="2" t="n">
        <v>800479</v>
      </c>
      <c r="B480" s="2" t="s">
        <v>402</v>
      </c>
      <c r="C480" s="2" t="s">
        <v>21</v>
      </c>
      <c r="D480" s="2" t="s">
        <v>101</v>
      </c>
      <c r="E480" s="2" t="s">
        <v>122</v>
      </c>
      <c r="F480" s="2" t="s">
        <v>87</v>
      </c>
      <c r="G480" s="2" t="s">
        <v>90</v>
      </c>
      <c r="H480" s="2" t="s">
        <v>26</v>
      </c>
      <c r="I480" s="2" t="s">
        <v>69</v>
      </c>
      <c r="J480" s="2" t="s">
        <v>81</v>
      </c>
      <c r="K480" s="2" t="s">
        <v>39</v>
      </c>
      <c r="L480" s="2" t="s">
        <v>30</v>
      </c>
      <c r="M480" s="2" t="n">
        <v>256</v>
      </c>
      <c r="N480" s="3" t="n">
        <v>20</v>
      </c>
      <c r="O480" s="4" t="n">
        <v>18.12</v>
      </c>
      <c r="P480" s="5" t="n">
        <v>10</v>
      </c>
      <c r="Q480" s="2" t="n">
        <v>0</v>
      </c>
      <c r="R480" s="4" t="n">
        <f aca="false">M480*O480</f>
        <v>4638.72</v>
      </c>
      <c r="S480" s="4" t="n">
        <f aca="false">R480*(P480/100)</f>
        <v>463.872</v>
      </c>
      <c r="T480" s="4" t="n">
        <f aca="false">R480-S480</f>
        <v>4174.848</v>
      </c>
    </row>
    <row r="481" customFormat="false" ht="15" hidden="false" customHeight="false" outlineLevel="0" collapsed="false">
      <c r="A481" s="2" t="n">
        <v>800480</v>
      </c>
      <c r="B481" s="2" t="s">
        <v>290</v>
      </c>
      <c r="C481" s="2" t="s">
        <v>32</v>
      </c>
      <c r="D481" s="2" t="s">
        <v>76</v>
      </c>
      <c r="E481" s="2" t="s">
        <v>96</v>
      </c>
      <c r="F481" s="2" t="s">
        <v>51</v>
      </c>
      <c r="G481" s="2" t="s">
        <v>103</v>
      </c>
      <c r="H481" s="2" t="s">
        <v>26</v>
      </c>
      <c r="I481" s="2" t="s">
        <v>69</v>
      </c>
      <c r="J481" s="2" t="s">
        <v>81</v>
      </c>
      <c r="K481" s="2" t="s">
        <v>71</v>
      </c>
      <c r="L481" s="2" t="s">
        <v>99</v>
      </c>
      <c r="M481" s="2" t="n">
        <v>436</v>
      </c>
      <c r="N481" s="3" t="n">
        <v>40</v>
      </c>
      <c r="O481" s="4" t="n">
        <v>37.89</v>
      </c>
      <c r="P481" s="5" t="n">
        <v>10</v>
      </c>
      <c r="Q481" s="2" t="n">
        <v>1</v>
      </c>
      <c r="R481" s="4" t="n">
        <f aca="false">M481*O481</f>
        <v>16520.04</v>
      </c>
      <c r="S481" s="4" t="n">
        <f aca="false">R481*(P481/100)</f>
        <v>1652.004</v>
      </c>
      <c r="T481" s="4" t="n">
        <f aca="false">R481-S481</f>
        <v>14868.036</v>
      </c>
    </row>
    <row r="482" customFormat="false" ht="15" hidden="false" customHeight="false" outlineLevel="0" collapsed="false">
      <c r="A482" s="2" t="n">
        <v>800481</v>
      </c>
      <c r="B482" s="2" t="s">
        <v>336</v>
      </c>
      <c r="C482" s="2" t="s">
        <v>84</v>
      </c>
      <c r="D482" s="2" t="s">
        <v>85</v>
      </c>
      <c r="E482" s="2" t="s">
        <v>86</v>
      </c>
      <c r="F482" s="2" t="s">
        <v>78</v>
      </c>
      <c r="G482" s="2" t="s">
        <v>125</v>
      </c>
      <c r="H482" s="2" t="s">
        <v>26</v>
      </c>
      <c r="I482" s="2" t="s">
        <v>37</v>
      </c>
      <c r="J482" s="2" t="s">
        <v>38</v>
      </c>
      <c r="K482" s="2" t="s">
        <v>39</v>
      </c>
      <c r="L482" s="2" t="s">
        <v>47</v>
      </c>
      <c r="M482" s="2" t="n">
        <v>323</v>
      </c>
      <c r="N482" s="3" t="n">
        <v>30</v>
      </c>
      <c r="O482" s="4" t="n">
        <v>28</v>
      </c>
      <c r="P482" s="5" t="n">
        <v>7.5</v>
      </c>
      <c r="Q482" s="2" t="n">
        <v>3</v>
      </c>
      <c r="R482" s="4" t="n">
        <f aca="false">M482*O482</f>
        <v>9044</v>
      </c>
      <c r="S482" s="4" t="n">
        <f aca="false">R482*(P482/100)</f>
        <v>678.3</v>
      </c>
      <c r="T482" s="4" t="n">
        <f aca="false">R482-S482</f>
        <v>8365.7</v>
      </c>
    </row>
    <row r="483" customFormat="false" ht="15" hidden="false" customHeight="false" outlineLevel="0" collapsed="false">
      <c r="A483" s="2" t="n">
        <v>800482</v>
      </c>
      <c r="B483" s="2" t="s">
        <v>403</v>
      </c>
      <c r="C483" s="2" t="s">
        <v>41</v>
      </c>
      <c r="D483" s="2" t="s">
        <v>73</v>
      </c>
      <c r="E483" s="2" t="s">
        <v>74</v>
      </c>
      <c r="F483" s="2" t="s">
        <v>51</v>
      </c>
      <c r="G483" s="2" t="s">
        <v>52</v>
      </c>
      <c r="H483" s="2" t="s">
        <v>26</v>
      </c>
      <c r="I483" s="2" t="s">
        <v>37</v>
      </c>
      <c r="J483" s="2" t="s">
        <v>38</v>
      </c>
      <c r="K483" s="2" t="s">
        <v>39</v>
      </c>
      <c r="L483" s="2" t="s">
        <v>53</v>
      </c>
      <c r="M483" s="2" t="n">
        <v>414</v>
      </c>
      <c r="N483" s="3" t="n">
        <v>30</v>
      </c>
      <c r="O483" s="4" t="n">
        <v>28.94</v>
      </c>
      <c r="P483" s="5" t="n">
        <v>7.5</v>
      </c>
      <c r="Q483" s="2" t="n">
        <v>2</v>
      </c>
      <c r="R483" s="4" t="n">
        <f aca="false">M483*O483</f>
        <v>11981.16</v>
      </c>
      <c r="S483" s="4" t="n">
        <f aca="false">R483*(P483/100)</f>
        <v>898.587</v>
      </c>
      <c r="T483" s="4" t="n">
        <f aca="false">R483-S483</f>
        <v>11082.573</v>
      </c>
    </row>
    <row r="484" customFormat="false" ht="15" hidden="false" customHeight="false" outlineLevel="0" collapsed="false">
      <c r="A484" s="2" t="n">
        <v>800483</v>
      </c>
      <c r="B484" s="2" t="s">
        <v>252</v>
      </c>
      <c r="C484" s="2" t="s">
        <v>21</v>
      </c>
      <c r="D484" s="2" t="s">
        <v>22</v>
      </c>
      <c r="E484" s="2" t="s">
        <v>109</v>
      </c>
      <c r="F484" s="2" t="s">
        <v>24</v>
      </c>
      <c r="G484" s="2" t="s">
        <v>143</v>
      </c>
      <c r="H484" s="2" t="s">
        <v>26</v>
      </c>
      <c r="I484" s="2" t="s">
        <v>69</v>
      </c>
      <c r="J484" s="2" t="s">
        <v>70</v>
      </c>
      <c r="K484" s="2" t="s">
        <v>39</v>
      </c>
      <c r="L484" s="2" t="s">
        <v>64</v>
      </c>
      <c r="M484" s="2" t="n">
        <v>251</v>
      </c>
      <c r="N484" s="3" t="n">
        <v>20</v>
      </c>
      <c r="O484" s="4" t="n">
        <v>18.49</v>
      </c>
      <c r="P484" s="5" t="n">
        <v>10</v>
      </c>
      <c r="Q484" s="2" t="n">
        <v>2</v>
      </c>
      <c r="R484" s="4" t="n">
        <f aca="false">M484*O484</f>
        <v>4640.99</v>
      </c>
      <c r="S484" s="4" t="n">
        <f aca="false">R484*(P484/100)</f>
        <v>464.099</v>
      </c>
      <c r="T484" s="4" t="n">
        <f aca="false">R484-S484</f>
        <v>4176.891</v>
      </c>
    </row>
    <row r="485" customFormat="false" ht="15" hidden="false" customHeight="false" outlineLevel="0" collapsed="false">
      <c r="A485" s="2" t="n">
        <v>800484</v>
      </c>
      <c r="B485" s="2" t="s">
        <v>357</v>
      </c>
      <c r="C485" s="2" t="s">
        <v>32</v>
      </c>
      <c r="D485" s="2" t="s">
        <v>55</v>
      </c>
      <c r="E485" s="2" t="s">
        <v>93</v>
      </c>
      <c r="F485" s="2" t="s">
        <v>35</v>
      </c>
      <c r="G485" s="2" t="s">
        <v>62</v>
      </c>
      <c r="H485" s="2" t="s">
        <v>26</v>
      </c>
      <c r="I485" s="2" t="s">
        <v>44</v>
      </c>
      <c r="J485" s="2" t="s">
        <v>45</v>
      </c>
      <c r="K485" s="2" t="s">
        <v>111</v>
      </c>
      <c r="L485" s="2" t="s">
        <v>82</v>
      </c>
      <c r="M485" s="2" t="n">
        <v>65</v>
      </c>
      <c r="N485" s="3" t="n">
        <v>10</v>
      </c>
      <c r="O485" s="4" t="n">
        <v>9.32</v>
      </c>
      <c r="P485" s="5" t="n">
        <v>10</v>
      </c>
      <c r="Q485" s="2" t="n">
        <v>0</v>
      </c>
      <c r="R485" s="4" t="n">
        <f aca="false">M485*O485</f>
        <v>605.8</v>
      </c>
      <c r="S485" s="4" t="n">
        <f aca="false">R485*(P485/100)</f>
        <v>60.58</v>
      </c>
      <c r="T485" s="4" t="n">
        <f aca="false">R485-S485</f>
        <v>545.22</v>
      </c>
    </row>
    <row r="486" customFormat="false" ht="15" hidden="false" customHeight="false" outlineLevel="0" collapsed="false">
      <c r="A486" s="2" t="n">
        <v>800485</v>
      </c>
      <c r="B486" s="2" t="s">
        <v>404</v>
      </c>
      <c r="C486" s="2" t="s">
        <v>21</v>
      </c>
      <c r="D486" s="2" t="s">
        <v>147</v>
      </c>
      <c r="E486" s="2" t="s">
        <v>148</v>
      </c>
      <c r="F486" s="2" t="s">
        <v>78</v>
      </c>
      <c r="G486" s="2" t="s">
        <v>36</v>
      </c>
      <c r="H486" s="2" t="s">
        <v>26</v>
      </c>
      <c r="I486" s="2" t="s">
        <v>37</v>
      </c>
      <c r="J486" s="2" t="s">
        <v>38</v>
      </c>
      <c r="K486" s="2" t="s">
        <v>39</v>
      </c>
      <c r="L486" s="2" t="s">
        <v>47</v>
      </c>
      <c r="M486" s="2" t="n">
        <v>460</v>
      </c>
      <c r="N486" s="3" t="n">
        <v>30</v>
      </c>
      <c r="O486" s="4" t="n">
        <v>26.69</v>
      </c>
      <c r="P486" s="5" t="n">
        <v>0</v>
      </c>
      <c r="Q486" s="2" t="n">
        <v>0</v>
      </c>
      <c r="R486" s="4" t="n">
        <f aca="false">M486*O486</f>
        <v>12277.4</v>
      </c>
      <c r="S486" s="4" t="n">
        <f aca="false">R486*(P486/100)</f>
        <v>0</v>
      </c>
      <c r="T486" s="4" t="n">
        <f aca="false">R486-S486</f>
        <v>12277.4</v>
      </c>
    </row>
    <row r="487" customFormat="false" ht="15" hidden="false" customHeight="false" outlineLevel="0" collapsed="false">
      <c r="A487" s="2" t="n">
        <v>800486</v>
      </c>
      <c r="B487" s="2" t="s">
        <v>405</v>
      </c>
      <c r="C487" s="2" t="s">
        <v>41</v>
      </c>
      <c r="D487" s="2" t="s">
        <v>49</v>
      </c>
      <c r="E487" s="2" t="s">
        <v>80</v>
      </c>
      <c r="F487" s="2" t="s">
        <v>51</v>
      </c>
      <c r="G487" s="2" t="s">
        <v>103</v>
      </c>
      <c r="H487" s="2" t="s">
        <v>26</v>
      </c>
      <c r="I487" s="2" t="s">
        <v>57</v>
      </c>
      <c r="J487" s="2" t="s">
        <v>58</v>
      </c>
      <c r="K487" s="2" t="s">
        <v>59</v>
      </c>
      <c r="L487" s="2" t="s">
        <v>30</v>
      </c>
      <c r="M487" s="2" t="n">
        <v>128</v>
      </c>
      <c r="N487" s="3" t="n">
        <v>20</v>
      </c>
      <c r="O487" s="4" t="n">
        <v>18.85</v>
      </c>
      <c r="P487" s="5" t="n">
        <v>12.5</v>
      </c>
      <c r="Q487" s="2" t="n">
        <v>0</v>
      </c>
      <c r="R487" s="4" t="n">
        <f aca="false">M487*O487</f>
        <v>2412.8</v>
      </c>
      <c r="S487" s="4" t="n">
        <f aca="false">R487*(P487/100)</f>
        <v>301.6</v>
      </c>
      <c r="T487" s="4" t="n">
        <f aca="false">R487-S487</f>
        <v>2111.2</v>
      </c>
    </row>
    <row r="488" customFormat="false" ht="15" hidden="false" customHeight="false" outlineLevel="0" collapsed="false">
      <c r="A488" s="2" t="n">
        <v>800487</v>
      </c>
      <c r="B488" s="2" t="s">
        <v>406</v>
      </c>
      <c r="C488" s="2" t="s">
        <v>41</v>
      </c>
      <c r="D488" s="2" t="s">
        <v>42</v>
      </c>
      <c r="E488" s="2" t="s">
        <v>43</v>
      </c>
      <c r="F488" s="2" t="s">
        <v>24</v>
      </c>
      <c r="G488" s="2" t="s">
        <v>68</v>
      </c>
      <c r="H488" s="2" t="s">
        <v>26</v>
      </c>
      <c r="I488" s="2" t="s">
        <v>27</v>
      </c>
      <c r="J488" s="2" t="s">
        <v>28</v>
      </c>
      <c r="K488" s="2" t="s">
        <v>63</v>
      </c>
      <c r="L488" s="2" t="s">
        <v>132</v>
      </c>
      <c r="M488" s="2" t="n">
        <v>56</v>
      </c>
      <c r="N488" s="3" t="n">
        <v>50</v>
      </c>
      <c r="O488" s="4" t="n">
        <v>47.04</v>
      </c>
      <c r="P488" s="5" t="n">
        <v>0</v>
      </c>
      <c r="Q488" s="2" t="n">
        <v>2</v>
      </c>
      <c r="R488" s="4" t="n">
        <f aca="false">M488*O488</f>
        <v>2634.24</v>
      </c>
      <c r="S488" s="4" t="n">
        <f aca="false">R488*(P488/100)</f>
        <v>0</v>
      </c>
      <c r="T488" s="4" t="n">
        <f aca="false">R488-S488</f>
        <v>2634.24</v>
      </c>
    </row>
    <row r="489" customFormat="false" ht="15" hidden="false" customHeight="false" outlineLevel="0" collapsed="false">
      <c r="A489" s="2" t="n">
        <v>800488</v>
      </c>
      <c r="B489" s="2" t="s">
        <v>112</v>
      </c>
      <c r="C489" s="2" t="s">
        <v>41</v>
      </c>
      <c r="D489" s="2" t="s">
        <v>73</v>
      </c>
      <c r="E489" s="2" t="s">
        <v>136</v>
      </c>
      <c r="F489" s="2" t="s">
        <v>24</v>
      </c>
      <c r="G489" s="2" t="s">
        <v>62</v>
      </c>
      <c r="H489" s="2" t="s">
        <v>26</v>
      </c>
      <c r="I489" s="2" t="s">
        <v>57</v>
      </c>
      <c r="J489" s="2" t="s">
        <v>58</v>
      </c>
      <c r="K489" s="2" t="s">
        <v>59</v>
      </c>
      <c r="L489" s="2" t="s">
        <v>53</v>
      </c>
      <c r="M489" s="2" t="n">
        <v>496</v>
      </c>
      <c r="N489" s="3" t="n">
        <v>20</v>
      </c>
      <c r="O489" s="4" t="n">
        <v>18.19</v>
      </c>
      <c r="P489" s="5" t="n">
        <v>0</v>
      </c>
      <c r="Q489" s="2" t="n">
        <v>2</v>
      </c>
      <c r="R489" s="4" t="n">
        <f aca="false">M489*O489</f>
        <v>9022.24</v>
      </c>
      <c r="S489" s="4" t="n">
        <f aca="false">R489*(P489/100)</f>
        <v>0</v>
      </c>
      <c r="T489" s="4" t="n">
        <f aca="false">R489-S489</f>
        <v>9022.24</v>
      </c>
    </row>
    <row r="490" customFormat="false" ht="15" hidden="false" customHeight="false" outlineLevel="0" collapsed="false">
      <c r="A490" s="2" t="n">
        <v>800489</v>
      </c>
      <c r="B490" s="2" t="s">
        <v>391</v>
      </c>
      <c r="C490" s="2" t="s">
        <v>41</v>
      </c>
      <c r="D490" s="2" t="s">
        <v>49</v>
      </c>
      <c r="E490" s="2" t="s">
        <v>80</v>
      </c>
      <c r="F490" s="2" t="s">
        <v>51</v>
      </c>
      <c r="G490" s="2" t="s">
        <v>137</v>
      </c>
      <c r="H490" s="2" t="s">
        <v>26</v>
      </c>
      <c r="I490" s="2" t="s">
        <v>27</v>
      </c>
      <c r="J490" s="2" t="s">
        <v>28</v>
      </c>
      <c r="K490" s="2" t="s">
        <v>63</v>
      </c>
      <c r="L490" s="2" t="s">
        <v>161</v>
      </c>
      <c r="M490" s="2" t="n">
        <v>329</v>
      </c>
      <c r="N490" s="3" t="n">
        <v>50</v>
      </c>
      <c r="O490" s="4" t="n">
        <v>42.55</v>
      </c>
      <c r="P490" s="5" t="n">
        <v>12.5</v>
      </c>
      <c r="Q490" s="2" t="n">
        <v>0</v>
      </c>
      <c r="R490" s="4" t="n">
        <f aca="false">M490*O490</f>
        <v>13998.95</v>
      </c>
      <c r="S490" s="4" t="n">
        <f aca="false">R490*(P490/100)</f>
        <v>1749.86875</v>
      </c>
      <c r="T490" s="4" t="n">
        <f aca="false">R490-S490</f>
        <v>12249.08125</v>
      </c>
    </row>
    <row r="491" customFormat="false" ht="15" hidden="false" customHeight="false" outlineLevel="0" collapsed="false">
      <c r="A491" s="2" t="n">
        <v>800490</v>
      </c>
      <c r="B491" s="2" t="s">
        <v>330</v>
      </c>
      <c r="C491" s="2" t="s">
        <v>84</v>
      </c>
      <c r="D491" s="2" t="s">
        <v>164</v>
      </c>
      <c r="E491" s="2" t="s">
        <v>165</v>
      </c>
      <c r="F491" s="2" t="s">
        <v>78</v>
      </c>
      <c r="G491" s="2" t="s">
        <v>36</v>
      </c>
      <c r="H491" s="2" t="s">
        <v>26</v>
      </c>
      <c r="I491" s="2" t="s">
        <v>37</v>
      </c>
      <c r="J491" s="2" t="s">
        <v>38</v>
      </c>
      <c r="K491" s="2" t="s">
        <v>39</v>
      </c>
      <c r="L491" s="2" t="s">
        <v>82</v>
      </c>
      <c r="M491" s="2" t="n">
        <v>77</v>
      </c>
      <c r="N491" s="3" t="n">
        <v>30</v>
      </c>
      <c r="O491" s="4" t="n">
        <v>27.94</v>
      </c>
      <c r="P491" s="5" t="n">
        <v>0</v>
      </c>
      <c r="Q491" s="2" t="n">
        <v>0</v>
      </c>
      <c r="R491" s="4" t="n">
        <f aca="false">M491*O491</f>
        <v>2151.38</v>
      </c>
      <c r="S491" s="4" t="n">
        <f aca="false">R491*(P491/100)</f>
        <v>0</v>
      </c>
      <c r="T491" s="4" t="n">
        <f aca="false">R491-S491</f>
        <v>2151.38</v>
      </c>
    </row>
    <row r="492" customFormat="false" ht="15" hidden="false" customHeight="false" outlineLevel="0" collapsed="false">
      <c r="A492" s="2" t="n">
        <v>800491</v>
      </c>
      <c r="B492" s="2" t="s">
        <v>407</v>
      </c>
      <c r="C492" s="2" t="s">
        <v>84</v>
      </c>
      <c r="D492" s="2" t="s">
        <v>164</v>
      </c>
      <c r="E492" s="2" t="s">
        <v>211</v>
      </c>
      <c r="F492" s="2" t="s">
        <v>35</v>
      </c>
      <c r="G492" s="2" t="s">
        <v>143</v>
      </c>
      <c r="H492" s="2" t="s">
        <v>26</v>
      </c>
      <c r="I492" s="2" t="s">
        <v>69</v>
      </c>
      <c r="J492" s="2" t="s">
        <v>70</v>
      </c>
      <c r="K492" s="2" t="s">
        <v>71</v>
      </c>
      <c r="L492" s="2" t="s">
        <v>60</v>
      </c>
      <c r="M492" s="2" t="n">
        <v>342</v>
      </c>
      <c r="N492" s="3" t="n">
        <v>40</v>
      </c>
      <c r="O492" s="4" t="n">
        <v>38.15</v>
      </c>
      <c r="P492" s="5" t="n">
        <v>0</v>
      </c>
      <c r="Q492" s="2" t="n">
        <v>3</v>
      </c>
      <c r="R492" s="4" t="n">
        <f aca="false">M492*O492</f>
        <v>13047.3</v>
      </c>
      <c r="S492" s="4" t="n">
        <f aca="false">R492*(P492/100)</f>
        <v>0</v>
      </c>
      <c r="T492" s="4" t="n">
        <f aca="false">R492-S492</f>
        <v>13047.3</v>
      </c>
    </row>
    <row r="493" customFormat="false" ht="15" hidden="false" customHeight="false" outlineLevel="0" collapsed="false">
      <c r="A493" s="2" t="n">
        <v>800492</v>
      </c>
      <c r="B493" s="2" t="s">
        <v>408</v>
      </c>
      <c r="C493" s="2" t="s">
        <v>84</v>
      </c>
      <c r="D493" s="2" t="s">
        <v>128</v>
      </c>
      <c r="E493" s="2" t="s">
        <v>199</v>
      </c>
      <c r="F493" s="2" t="s">
        <v>35</v>
      </c>
      <c r="G493" s="2" t="s">
        <v>36</v>
      </c>
      <c r="H493" s="2" t="s">
        <v>26</v>
      </c>
      <c r="I493" s="2" t="s">
        <v>57</v>
      </c>
      <c r="J493" s="2" t="s">
        <v>58</v>
      </c>
      <c r="K493" s="2" t="s">
        <v>59</v>
      </c>
      <c r="L493" s="2" t="s">
        <v>30</v>
      </c>
      <c r="M493" s="2" t="n">
        <v>483</v>
      </c>
      <c r="N493" s="3" t="n">
        <v>20</v>
      </c>
      <c r="O493" s="4" t="n">
        <v>18.31</v>
      </c>
      <c r="P493" s="5" t="n">
        <v>7.5</v>
      </c>
      <c r="Q493" s="2" t="n">
        <v>1</v>
      </c>
      <c r="R493" s="4" t="n">
        <f aca="false">M493*O493</f>
        <v>8843.73</v>
      </c>
      <c r="S493" s="4" t="n">
        <f aca="false">R493*(P493/100)</f>
        <v>663.27975</v>
      </c>
      <c r="T493" s="4" t="n">
        <f aca="false">R493-S493</f>
        <v>8180.45025</v>
      </c>
    </row>
    <row r="494" customFormat="false" ht="15" hidden="false" customHeight="false" outlineLevel="0" collapsed="false">
      <c r="A494" s="2" t="n">
        <v>800493</v>
      </c>
      <c r="B494" s="2" t="s">
        <v>409</v>
      </c>
      <c r="C494" s="2" t="s">
        <v>84</v>
      </c>
      <c r="D494" s="2" t="s">
        <v>119</v>
      </c>
      <c r="E494" s="2" t="s">
        <v>120</v>
      </c>
      <c r="F494" s="2" t="s">
        <v>78</v>
      </c>
      <c r="G494" s="2" t="s">
        <v>125</v>
      </c>
      <c r="H494" s="2" t="s">
        <v>26</v>
      </c>
      <c r="I494" s="2" t="s">
        <v>37</v>
      </c>
      <c r="J494" s="2" t="s">
        <v>38</v>
      </c>
      <c r="K494" s="2" t="s">
        <v>39</v>
      </c>
      <c r="L494" s="2" t="s">
        <v>53</v>
      </c>
      <c r="M494" s="2" t="n">
        <v>153</v>
      </c>
      <c r="N494" s="3" t="n">
        <v>30</v>
      </c>
      <c r="O494" s="4" t="n">
        <v>25.76</v>
      </c>
      <c r="P494" s="5" t="n">
        <v>12.5</v>
      </c>
      <c r="Q494" s="2" t="n">
        <v>0</v>
      </c>
      <c r="R494" s="4" t="n">
        <f aca="false">M494*O494</f>
        <v>3941.28</v>
      </c>
      <c r="S494" s="4" t="n">
        <f aca="false">R494*(P494/100)</f>
        <v>492.66</v>
      </c>
      <c r="T494" s="4" t="n">
        <f aca="false">R494-S494</f>
        <v>3448.62</v>
      </c>
    </row>
    <row r="495" customFormat="false" ht="15" hidden="false" customHeight="false" outlineLevel="0" collapsed="false">
      <c r="A495" s="2" t="n">
        <v>800494</v>
      </c>
      <c r="B495" s="2" t="s">
        <v>410</v>
      </c>
      <c r="C495" s="2" t="s">
        <v>21</v>
      </c>
      <c r="D495" s="2" t="s">
        <v>147</v>
      </c>
      <c r="E495" s="2" t="s">
        <v>148</v>
      </c>
      <c r="F495" s="2" t="s">
        <v>35</v>
      </c>
      <c r="G495" s="2" t="s">
        <v>36</v>
      </c>
      <c r="H495" s="2" t="s">
        <v>26</v>
      </c>
      <c r="I495" s="2" t="s">
        <v>44</v>
      </c>
      <c r="J495" s="2" t="s">
        <v>45</v>
      </c>
      <c r="K495" s="2" t="s">
        <v>111</v>
      </c>
      <c r="L495" s="2" t="s">
        <v>47</v>
      </c>
      <c r="M495" s="2" t="n">
        <v>84</v>
      </c>
      <c r="N495" s="3" t="n">
        <v>10</v>
      </c>
      <c r="O495" s="4" t="n">
        <v>9.21</v>
      </c>
      <c r="P495" s="5" t="n">
        <v>5</v>
      </c>
      <c r="Q495" s="2" t="n">
        <v>0</v>
      </c>
      <c r="R495" s="4" t="n">
        <f aca="false">M495*O495</f>
        <v>773.64</v>
      </c>
      <c r="S495" s="4" t="n">
        <f aca="false">R495*(P495/100)</f>
        <v>38.682</v>
      </c>
      <c r="T495" s="4" t="n">
        <f aca="false">R495-S495</f>
        <v>734.958</v>
      </c>
    </row>
    <row r="496" customFormat="false" ht="15" hidden="false" customHeight="false" outlineLevel="0" collapsed="false">
      <c r="A496" s="2" t="n">
        <v>800495</v>
      </c>
      <c r="B496" s="2" t="s">
        <v>322</v>
      </c>
      <c r="C496" s="2" t="s">
        <v>84</v>
      </c>
      <c r="D496" s="2" t="s">
        <v>119</v>
      </c>
      <c r="E496" s="2" t="s">
        <v>201</v>
      </c>
      <c r="F496" s="2" t="s">
        <v>78</v>
      </c>
      <c r="G496" s="2" t="s">
        <v>125</v>
      </c>
      <c r="H496" s="2" t="s">
        <v>26</v>
      </c>
      <c r="I496" s="2" t="s">
        <v>69</v>
      </c>
      <c r="J496" s="2" t="s">
        <v>70</v>
      </c>
      <c r="K496" s="2" t="s">
        <v>39</v>
      </c>
      <c r="L496" s="2" t="s">
        <v>53</v>
      </c>
      <c r="M496" s="2" t="n">
        <v>398</v>
      </c>
      <c r="N496" s="3" t="n">
        <v>20</v>
      </c>
      <c r="O496" s="4" t="n">
        <v>17.42</v>
      </c>
      <c r="P496" s="5" t="n">
        <v>12.5</v>
      </c>
      <c r="Q496" s="2" t="n">
        <v>1</v>
      </c>
      <c r="R496" s="4" t="n">
        <f aca="false">M496*O496</f>
        <v>6933.16</v>
      </c>
      <c r="S496" s="4" t="n">
        <f aca="false">R496*(P496/100)</f>
        <v>866.645</v>
      </c>
      <c r="T496" s="4" t="n">
        <f aca="false">R496-S496</f>
        <v>6066.515</v>
      </c>
    </row>
    <row r="497" customFormat="false" ht="15" hidden="false" customHeight="false" outlineLevel="0" collapsed="false">
      <c r="A497" s="2" t="n">
        <v>800496</v>
      </c>
      <c r="B497" s="2" t="s">
        <v>393</v>
      </c>
      <c r="C497" s="2" t="s">
        <v>84</v>
      </c>
      <c r="D497" s="2" t="s">
        <v>85</v>
      </c>
      <c r="E497" s="2" t="s">
        <v>124</v>
      </c>
      <c r="F497" s="2" t="s">
        <v>24</v>
      </c>
      <c r="G497" s="2" t="s">
        <v>90</v>
      </c>
      <c r="H497" s="2" t="s">
        <v>26</v>
      </c>
      <c r="I497" s="2" t="s">
        <v>69</v>
      </c>
      <c r="J497" s="2" t="s">
        <v>81</v>
      </c>
      <c r="K497" s="2" t="s">
        <v>71</v>
      </c>
      <c r="L497" s="2" t="s">
        <v>47</v>
      </c>
      <c r="M497" s="2" t="n">
        <v>94</v>
      </c>
      <c r="N497" s="3" t="n">
        <v>40</v>
      </c>
      <c r="O497" s="4" t="n">
        <v>37.34</v>
      </c>
      <c r="P497" s="5" t="n">
        <v>0</v>
      </c>
      <c r="Q497" s="2" t="n">
        <v>2</v>
      </c>
      <c r="R497" s="4" t="n">
        <f aca="false">M497*O497</f>
        <v>3509.96</v>
      </c>
      <c r="S497" s="4" t="n">
        <f aca="false">R497*(P497/100)</f>
        <v>0</v>
      </c>
      <c r="T497" s="4" t="n">
        <f aca="false">R497-S497</f>
        <v>3509.96</v>
      </c>
    </row>
    <row r="498" customFormat="false" ht="15" hidden="false" customHeight="false" outlineLevel="0" collapsed="false">
      <c r="A498" s="2" t="n">
        <v>800497</v>
      </c>
      <c r="B498" s="2" t="s">
        <v>372</v>
      </c>
      <c r="C498" s="2" t="s">
        <v>41</v>
      </c>
      <c r="D498" s="2" t="s">
        <v>73</v>
      </c>
      <c r="E498" s="2" t="s">
        <v>167</v>
      </c>
      <c r="F498" s="2" t="s">
        <v>51</v>
      </c>
      <c r="G498" s="2" t="s">
        <v>125</v>
      </c>
      <c r="H498" s="2" t="s">
        <v>26</v>
      </c>
      <c r="I498" s="2" t="s">
        <v>27</v>
      </c>
      <c r="J498" s="2" t="s">
        <v>28</v>
      </c>
      <c r="K498" s="2" t="s">
        <v>63</v>
      </c>
      <c r="L498" s="2" t="s">
        <v>53</v>
      </c>
      <c r="M498" s="2" t="n">
        <v>395</v>
      </c>
      <c r="N498" s="3" t="n">
        <v>50</v>
      </c>
      <c r="O498" s="4" t="n">
        <v>48.39</v>
      </c>
      <c r="P498" s="5" t="n">
        <v>0</v>
      </c>
      <c r="Q498" s="2" t="n">
        <v>0</v>
      </c>
      <c r="R498" s="4" t="n">
        <f aca="false">M498*O498</f>
        <v>19114.05</v>
      </c>
      <c r="S498" s="4" t="n">
        <f aca="false">R498*(P498/100)</f>
        <v>0</v>
      </c>
      <c r="T498" s="4" t="n">
        <f aca="false">R498-S498</f>
        <v>19114.05</v>
      </c>
    </row>
    <row r="499" customFormat="false" ht="15" hidden="false" customHeight="false" outlineLevel="0" collapsed="false">
      <c r="A499" s="2" t="n">
        <v>800498</v>
      </c>
      <c r="B499" s="2" t="s">
        <v>307</v>
      </c>
      <c r="C499" s="2" t="s">
        <v>21</v>
      </c>
      <c r="D499" s="2" t="s">
        <v>116</v>
      </c>
      <c r="E499" s="2" t="s">
        <v>309</v>
      </c>
      <c r="F499" s="2" t="s">
        <v>51</v>
      </c>
      <c r="G499" s="2" t="s">
        <v>94</v>
      </c>
      <c r="H499" s="2" t="s">
        <v>26</v>
      </c>
      <c r="I499" s="2" t="s">
        <v>44</v>
      </c>
      <c r="J499" s="2" t="s">
        <v>45</v>
      </c>
      <c r="K499" s="2" t="s">
        <v>111</v>
      </c>
      <c r="L499" s="2" t="s">
        <v>30</v>
      </c>
      <c r="M499" s="2" t="n">
        <v>139</v>
      </c>
      <c r="N499" s="3" t="n">
        <v>10</v>
      </c>
      <c r="O499" s="4" t="n">
        <v>9.03</v>
      </c>
      <c r="P499" s="5" t="n">
        <v>10</v>
      </c>
      <c r="Q499" s="2" t="n">
        <v>2</v>
      </c>
      <c r="R499" s="4" t="n">
        <f aca="false">M499*O499</f>
        <v>1255.17</v>
      </c>
      <c r="S499" s="4" t="n">
        <f aca="false">R499*(P499/100)</f>
        <v>125.517</v>
      </c>
      <c r="T499" s="4" t="n">
        <f aca="false">R499-S499</f>
        <v>1129.653</v>
      </c>
    </row>
    <row r="500" customFormat="false" ht="15" hidden="false" customHeight="false" outlineLevel="0" collapsed="false">
      <c r="A500" s="2" t="n">
        <v>800499</v>
      </c>
      <c r="B500" s="2" t="s">
        <v>88</v>
      </c>
      <c r="C500" s="2" t="s">
        <v>32</v>
      </c>
      <c r="D500" s="2" t="s">
        <v>76</v>
      </c>
      <c r="E500" s="2" t="s">
        <v>77</v>
      </c>
      <c r="F500" s="2" t="s">
        <v>78</v>
      </c>
      <c r="G500" s="2" t="s">
        <v>68</v>
      </c>
      <c r="H500" s="2" t="s">
        <v>26</v>
      </c>
      <c r="I500" s="2" t="s">
        <v>57</v>
      </c>
      <c r="J500" s="2" t="s">
        <v>58</v>
      </c>
      <c r="K500" s="2" t="s">
        <v>59</v>
      </c>
      <c r="L500" s="2" t="s">
        <v>82</v>
      </c>
      <c r="M500" s="2" t="n">
        <v>291</v>
      </c>
      <c r="N500" s="3" t="n">
        <v>20</v>
      </c>
      <c r="O500" s="4" t="n">
        <v>18.91</v>
      </c>
      <c r="P500" s="5" t="n">
        <v>0</v>
      </c>
      <c r="Q500" s="2" t="n">
        <v>0</v>
      </c>
      <c r="R500" s="4" t="n">
        <f aca="false">M500*O500</f>
        <v>5502.81</v>
      </c>
      <c r="S500" s="4" t="n">
        <f aca="false">R500*(P500/100)</f>
        <v>0</v>
      </c>
      <c r="T500" s="4" t="n">
        <f aca="false">R500-S500</f>
        <v>5502.81</v>
      </c>
    </row>
    <row r="501" customFormat="false" ht="15" hidden="false" customHeight="false" outlineLevel="0" collapsed="false">
      <c r="A501" s="2" t="n">
        <v>800500</v>
      </c>
      <c r="B501" s="2" t="s">
        <v>298</v>
      </c>
      <c r="C501" s="2" t="s">
        <v>84</v>
      </c>
      <c r="D501" s="2" t="s">
        <v>164</v>
      </c>
      <c r="E501" s="2" t="s">
        <v>165</v>
      </c>
      <c r="F501" s="2" t="s">
        <v>87</v>
      </c>
      <c r="G501" s="2" t="s">
        <v>68</v>
      </c>
      <c r="H501" s="2" t="s">
        <v>26</v>
      </c>
      <c r="I501" s="2" t="s">
        <v>44</v>
      </c>
      <c r="J501" s="2" t="s">
        <v>45</v>
      </c>
      <c r="K501" s="2" t="s">
        <v>46</v>
      </c>
      <c r="L501" s="2" t="s">
        <v>107</v>
      </c>
      <c r="M501" s="2" t="n">
        <v>355</v>
      </c>
      <c r="N501" s="3" t="n">
        <v>20</v>
      </c>
      <c r="O501" s="4" t="n">
        <v>18.64</v>
      </c>
      <c r="P501" s="5" t="n">
        <v>12.5</v>
      </c>
      <c r="Q501" s="2" t="n">
        <v>0</v>
      </c>
      <c r="R501" s="4" t="n">
        <f aca="false">M501*O501</f>
        <v>6617.2</v>
      </c>
      <c r="S501" s="4" t="n">
        <f aca="false">R501*(P501/100)</f>
        <v>827.15</v>
      </c>
      <c r="T501" s="4" t="n">
        <f aca="false">R501-S501</f>
        <v>5790.05</v>
      </c>
    </row>
    <row r="502" customFormat="false" ht="15" hidden="false" customHeight="false" outlineLevel="0" collapsed="false">
      <c r="A502" s="2" t="n">
        <v>800501</v>
      </c>
      <c r="B502" s="2" t="s">
        <v>411</v>
      </c>
      <c r="C502" s="2" t="s">
        <v>32</v>
      </c>
      <c r="D502" s="2" t="s">
        <v>76</v>
      </c>
      <c r="E502" s="2" t="s">
        <v>77</v>
      </c>
      <c r="F502" s="2" t="s">
        <v>24</v>
      </c>
      <c r="G502" s="2" t="s">
        <v>137</v>
      </c>
      <c r="H502" s="2" t="s">
        <v>26</v>
      </c>
      <c r="I502" s="2" t="s">
        <v>37</v>
      </c>
      <c r="J502" s="2" t="s">
        <v>38</v>
      </c>
      <c r="K502" s="2" t="s">
        <v>39</v>
      </c>
      <c r="L502" s="2" t="s">
        <v>132</v>
      </c>
      <c r="M502" s="2" t="n">
        <v>445</v>
      </c>
      <c r="N502" s="3" t="n">
        <v>30</v>
      </c>
      <c r="O502" s="4" t="n">
        <v>25.79</v>
      </c>
      <c r="P502" s="5" t="n">
        <v>10</v>
      </c>
      <c r="Q502" s="2" t="n">
        <v>0</v>
      </c>
      <c r="R502" s="4" t="n">
        <f aca="false">M502*O502</f>
        <v>11476.55</v>
      </c>
      <c r="S502" s="4" t="n">
        <f aca="false">R502*(P502/100)</f>
        <v>1147.655</v>
      </c>
      <c r="T502" s="4" t="n">
        <f aca="false">R502-S502</f>
        <v>10328.895</v>
      </c>
    </row>
    <row r="503" customFormat="false" ht="15" hidden="false" customHeight="false" outlineLevel="0" collapsed="false">
      <c r="A503" s="2" t="n">
        <v>800502</v>
      </c>
      <c r="B503" s="2" t="s">
        <v>412</v>
      </c>
      <c r="C503" s="2" t="s">
        <v>21</v>
      </c>
      <c r="D503" s="2" t="s">
        <v>101</v>
      </c>
      <c r="E503" s="2" t="s">
        <v>102</v>
      </c>
      <c r="F503" s="2" t="s">
        <v>24</v>
      </c>
      <c r="G503" s="2" t="s">
        <v>125</v>
      </c>
      <c r="H503" s="2" t="s">
        <v>26</v>
      </c>
      <c r="I503" s="2" t="s">
        <v>44</v>
      </c>
      <c r="J503" s="2" t="s">
        <v>45</v>
      </c>
      <c r="K503" s="2" t="s">
        <v>111</v>
      </c>
      <c r="L503" s="2" t="s">
        <v>99</v>
      </c>
      <c r="M503" s="2" t="n">
        <v>37</v>
      </c>
      <c r="N503" s="3" t="n">
        <v>10</v>
      </c>
      <c r="O503" s="4" t="n">
        <v>8.53</v>
      </c>
      <c r="P503" s="5" t="n">
        <v>0</v>
      </c>
      <c r="Q503" s="2" t="n">
        <v>0</v>
      </c>
      <c r="R503" s="4" t="n">
        <f aca="false">M503*O503</f>
        <v>315.61</v>
      </c>
      <c r="S503" s="4" t="n">
        <f aca="false">R503*(P503/100)</f>
        <v>0</v>
      </c>
      <c r="T503" s="4" t="n">
        <f aca="false">R503-S503</f>
        <v>315.61</v>
      </c>
    </row>
    <row r="504" customFormat="false" ht="15" hidden="false" customHeight="false" outlineLevel="0" collapsed="false">
      <c r="A504" s="2" t="n">
        <v>800503</v>
      </c>
      <c r="B504" s="2" t="s">
        <v>146</v>
      </c>
      <c r="C504" s="2" t="s">
        <v>32</v>
      </c>
      <c r="D504" s="2" t="s">
        <v>76</v>
      </c>
      <c r="E504" s="2" t="s">
        <v>96</v>
      </c>
      <c r="F504" s="2" t="s">
        <v>78</v>
      </c>
      <c r="G504" s="2" t="s">
        <v>52</v>
      </c>
      <c r="H504" s="2" t="s">
        <v>26</v>
      </c>
      <c r="I504" s="2" t="s">
        <v>37</v>
      </c>
      <c r="J504" s="2" t="s">
        <v>38</v>
      </c>
      <c r="K504" s="2" t="s">
        <v>39</v>
      </c>
      <c r="L504" s="2" t="s">
        <v>161</v>
      </c>
      <c r="M504" s="2" t="n">
        <v>356</v>
      </c>
      <c r="N504" s="3" t="n">
        <v>30</v>
      </c>
      <c r="O504" s="4" t="n">
        <v>28.71</v>
      </c>
      <c r="P504" s="5" t="n">
        <v>0</v>
      </c>
      <c r="Q504" s="2" t="n">
        <v>0</v>
      </c>
      <c r="R504" s="4" t="n">
        <f aca="false">M504*O504</f>
        <v>10220.76</v>
      </c>
      <c r="S504" s="4" t="n">
        <f aca="false">R504*(P504/100)</f>
        <v>0</v>
      </c>
      <c r="T504" s="4" t="n">
        <f aca="false">R504-S504</f>
        <v>10220.76</v>
      </c>
    </row>
    <row r="505" customFormat="false" ht="15" hidden="false" customHeight="false" outlineLevel="0" collapsed="false">
      <c r="A505" s="2" t="n">
        <v>800504</v>
      </c>
      <c r="B505" s="2" t="s">
        <v>130</v>
      </c>
      <c r="C505" s="2" t="s">
        <v>32</v>
      </c>
      <c r="D505" s="2" t="s">
        <v>55</v>
      </c>
      <c r="E505" s="2" t="s">
        <v>93</v>
      </c>
      <c r="F505" s="2" t="s">
        <v>51</v>
      </c>
      <c r="G505" s="2" t="s">
        <v>62</v>
      </c>
      <c r="H505" s="2" t="s">
        <v>26</v>
      </c>
      <c r="I505" s="2" t="s">
        <v>69</v>
      </c>
      <c r="J505" s="2" t="s">
        <v>114</v>
      </c>
      <c r="K505" s="2" t="s">
        <v>29</v>
      </c>
      <c r="L505" s="2" t="s">
        <v>107</v>
      </c>
      <c r="M505" s="2" t="n">
        <v>413</v>
      </c>
      <c r="N505" s="3" t="n">
        <v>20</v>
      </c>
      <c r="O505" s="4" t="n">
        <v>18.2</v>
      </c>
      <c r="P505" s="5" t="n">
        <v>7.5</v>
      </c>
      <c r="Q505" s="2" t="n">
        <v>0</v>
      </c>
      <c r="R505" s="4" t="n">
        <f aca="false">M505*O505</f>
        <v>7516.6</v>
      </c>
      <c r="S505" s="4" t="n">
        <f aca="false">R505*(P505/100)</f>
        <v>563.745</v>
      </c>
      <c r="T505" s="4" t="n">
        <f aca="false">R505-S505</f>
        <v>6952.855</v>
      </c>
    </row>
    <row r="506" customFormat="false" ht="15" hidden="false" customHeight="false" outlineLevel="0" collapsed="false">
      <c r="A506" s="2" t="n">
        <v>800505</v>
      </c>
      <c r="B506" s="2" t="s">
        <v>181</v>
      </c>
      <c r="C506" s="2" t="s">
        <v>21</v>
      </c>
      <c r="D506" s="2" t="s">
        <v>147</v>
      </c>
      <c r="E506" s="2" t="s">
        <v>228</v>
      </c>
      <c r="F506" s="2" t="s">
        <v>51</v>
      </c>
      <c r="G506" s="2" t="s">
        <v>103</v>
      </c>
      <c r="H506" s="2" t="s">
        <v>26</v>
      </c>
      <c r="I506" s="2" t="s">
        <v>44</v>
      </c>
      <c r="J506" s="2" t="s">
        <v>45</v>
      </c>
      <c r="K506" s="2" t="s">
        <v>46</v>
      </c>
      <c r="L506" s="2" t="s">
        <v>107</v>
      </c>
      <c r="M506" s="2" t="n">
        <v>436</v>
      </c>
      <c r="N506" s="3" t="n">
        <v>20</v>
      </c>
      <c r="O506" s="4" t="n">
        <v>17.74</v>
      </c>
      <c r="P506" s="5" t="n">
        <v>12.5</v>
      </c>
      <c r="Q506" s="2" t="n">
        <v>0</v>
      </c>
      <c r="R506" s="4" t="n">
        <f aca="false">M506*O506</f>
        <v>7734.64</v>
      </c>
      <c r="S506" s="4" t="n">
        <f aca="false">R506*(P506/100)</f>
        <v>966.83</v>
      </c>
      <c r="T506" s="4" t="n">
        <f aca="false">R506-S506</f>
        <v>6767.81</v>
      </c>
    </row>
    <row r="507" customFormat="false" ht="15" hidden="false" customHeight="false" outlineLevel="0" collapsed="false">
      <c r="A507" s="2" t="n">
        <v>800506</v>
      </c>
      <c r="B507" s="2" t="s">
        <v>396</v>
      </c>
      <c r="C507" s="2" t="s">
        <v>32</v>
      </c>
      <c r="D507" s="2" t="s">
        <v>76</v>
      </c>
      <c r="E507" s="2" t="s">
        <v>77</v>
      </c>
      <c r="F507" s="2" t="s">
        <v>24</v>
      </c>
      <c r="G507" s="2" t="s">
        <v>62</v>
      </c>
      <c r="H507" s="2" t="s">
        <v>26</v>
      </c>
      <c r="I507" s="2" t="s">
        <v>57</v>
      </c>
      <c r="J507" s="2" t="s">
        <v>104</v>
      </c>
      <c r="K507" s="2" t="s">
        <v>59</v>
      </c>
      <c r="L507" s="2" t="s">
        <v>64</v>
      </c>
      <c r="M507" s="2" t="n">
        <v>296</v>
      </c>
      <c r="N507" s="3" t="n">
        <v>25</v>
      </c>
      <c r="O507" s="4" t="n">
        <v>23.94</v>
      </c>
      <c r="P507" s="5" t="n">
        <v>2</v>
      </c>
      <c r="Q507" s="2" t="n">
        <v>0</v>
      </c>
      <c r="R507" s="4" t="n">
        <f aca="false">M507*O507</f>
        <v>7086.24</v>
      </c>
      <c r="S507" s="4" t="n">
        <f aca="false">R507*(P507/100)</f>
        <v>141.7248</v>
      </c>
      <c r="T507" s="4" t="n">
        <f aca="false">R507-S507</f>
        <v>6944.5152</v>
      </c>
    </row>
    <row r="508" customFormat="false" ht="15" hidden="false" customHeight="false" outlineLevel="0" collapsed="false">
      <c r="A508" s="2" t="n">
        <v>800507</v>
      </c>
      <c r="B508" s="2" t="s">
        <v>347</v>
      </c>
      <c r="C508" s="2" t="s">
        <v>84</v>
      </c>
      <c r="D508" s="2" t="s">
        <v>128</v>
      </c>
      <c r="E508" s="2" t="s">
        <v>129</v>
      </c>
      <c r="F508" s="2" t="s">
        <v>78</v>
      </c>
      <c r="G508" s="2" t="s">
        <v>52</v>
      </c>
      <c r="H508" s="2" t="s">
        <v>26</v>
      </c>
      <c r="I508" s="2" t="s">
        <v>37</v>
      </c>
      <c r="J508" s="2" t="s">
        <v>38</v>
      </c>
      <c r="K508" s="2" t="s">
        <v>39</v>
      </c>
      <c r="L508" s="2" t="s">
        <v>60</v>
      </c>
      <c r="M508" s="2" t="n">
        <v>29</v>
      </c>
      <c r="N508" s="3" t="n">
        <v>30</v>
      </c>
      <c r="O508" s="4" t="n">
        <v>29.27</v>
      </c>
      <c r="P508" s="5" t="n">
        <v>0</v>
      </c>
      <c r="Q508" s="2" t="n">
        <v>0</v>
      </c>
      <c r="R508" s="4" t="n">
        <f aca="false">M508*O508</f>
        <v>848.83</v>
      </c>
      <c r="S508" s="4" t="n">
        <f aca="false">R508*(P508/100)</f>
        <v>0</v>
      </c>
      <c r="T508" s="4" t="n">
        <f aca="false">R508-S508</f>
        <v>848.83</v>
      </c>
    </row>
    <row r="509" customFormat="false" ht="15" hidden="false" customHeight="false" outlineLevel="0" collapsed="false">
      <c r="A509" s="2" t="n">
        <v>800508</v>
      </c>
      <c r="B509" s="2" t="s">
        <v>174</v>
      </c>
      <c r="C509" s="2" t="s">
        <v>41</v>
      </c>
      <c r="D509" s="2" t="s">
        <v>42</v>
      </c>
      <c r="E509" s="2" t="s">
        <v>131</v>
      </c>
      <c r="F509" s="2" t="s">
        <v>87</v>
      </c>
      <c r="G509" s="2" t="s">
        <v>103</v>
      </c>
      <c r="H509" s="2" t="s">
        <v>26</v>
      </c>
      <c r="I509" s="2" t="s">
        <v>37</v>
      </c>
      <c r="J509" s="2" t="s">
        <v>38</v>
      </c>
      <c r="K509" s="2" t="s">
        <v>39</v>
      </c>
      <c r="L509" s="2" t="s">
        <v>30</v>
      </c>
      <c r="M509" s="2" t="n">
        <v>382</v>
      </c>
      <c r="N509" s="3" t="n">
        <v>30</v>
      </c>
      <c r="O509" s="4" t="n">
        <v>29.45</v>
      </c>
      <c r="P509" s="5" t="n">
        <v>12.5</v>
      </c>
      <c r="Q509" s="2" t="n">
        <v>2</v>
      </c>
      <c r="R509" s="4" t="n">
        <f aca="false">M509*O509</f>
        <v>11249.9</v>
      </c>
      <c r="S509" s="4" t="n">
        <f aca="false">R509*(P509/100)</f>
        <v>1406.2375</v>
      </c>
      <c r="T509" s="4" t="n">
        <f aca="false">R509-S509</f>
        <v>9843.6625</v>
      </c>
    </row>
    <row r="510" customFormat="false" ht="15" hidden="false" customHeight="false" outlineLevel="0" collapsed="false">
      <c r="A510" s="2" t="n">
        <v>800509</v>
      </c>
      <c r="B510" s="2" t="s">
        <v>310</v>
      </c>
      <c r="C510" s="2" t="s">
        <v>41</v>
      </c>
      <c r="D510" s="2" t="s">
        <v>49</v>
      </c>
      <c r="E510" s="2" t="s">
        <v>50</v>
      </c>
      <c r="F510" s="2" t="s">
        <v>35</v>
      </c>
      <c r="G510" s="2" t="s">
        <v>25</v>
      </c>
      <c r="H510" s="2" t="s">
        <v>26</v>
      </c>
      <c r="I510" s="2" t="s">
        <v>69</v>
      </c>
      <c r="J510" s="2" t="s">
        <v>202</v>
      </c>
      <c r="K510" s="2" t="s">
        <v>39</v>
      </c>
      <c r="L510" s="2" t="s">
        <v>60</v>
      </c>
      <c r="M510" s="2" t="n">
        <v>82</v>
      </c>
      <c r="N510" s="3" t="n">
        <v>20</v>
      </c>
      <c r="O510" s="4" t="n">
        <v>18.59</v>
      </c>
      <c r="P510" s="5" t="n">
        <v>7.5</v>
      </c>
      <c r="Q510" s="2" t="n">
        <v>1</v>
      </c>
      <c r="R510" s="4" t="n">
        <f aca="false">M510*O510</f>
        <v>1524.38</v>
      </c>
      <c r="S510" s="4" t="n">
        <f aca="false">R510*(P510/100)</f>
        <v>114.3285</v>
      </c>
      <c r="T510" s="4" t="n">
        <f aca="false">R510-S510</f>
        <v>1410.0515</v>
      </c>
    </row>
    <row r="511" customFormat="false" ht="15" hidden="false" customHeight="false" outlineLevel="0" collapsed="false">
      <c r="A511" s="2" t="n">
        <v>800510</v>
      </c>
      <c r="B511" s="2" t="s">
        <v>223</v>
      </c>
      <c r="C511" s="2" t="s">
        <v>84</v>
      </c>
      <c r="D511" s="2" t="s">
        <v>164</v>
      </c>
      <c r="E511" s="2" t="s">
        <v>211</v>
      </c>
      <c r="F511" s="2" t="s">
        <v>78</v>
      </c>
      <c r="G511" s="2" t="s">
        <v>137</v>
      </c>
      <c r="H511" s="2" t="s">
        <v>26</v>
      </c>
      <c r="I511" s="2" t="s">
        <v>37</v>
      </c>
      <c r="J511" s="2" t="s">
        <v>38</v>
      </c>
      <c r="K511" s="2" t="s">
        <v>39</v>
      </c>
      <c r="L511" s="2" t="s">
        <v>47</v>
      </c>
      <c r="M511" s="2" t="n">
        <v>450</v>
      </c>
      <c r="N511" s="3" t="n">
        <v>30</v>
      </c>
      <c r="O511" s="4" t="n">
        <v>27.43</v>
      </c>
      <c r="P511" s="5" t="n">
        <v>5</v>
      </c>
      <c r="Q511" s="2" t="n">
        <v>0</v>
      </c>
      <c r="R511" s="4" t="n">
        <f aca="false">M511*O511</f>
        <v>12343.5</v>
      </c>
      <c r="S511" s="4" t="n">
        <f aca="false">R511*(P511/100)</f>
        <v>617.175</v>
      </c>
      <c r="T511" s="4" t="n">
        <f aca="false">R511-S511</f>
        <v>11726.325</v>
      </c>
    </row>
    <row r="512" customFormat="false" ht="15" hidden="false" customHeight="false" outlineLevel="0" collapsed="false">
      <c r="A512" s="2" t="n">
        <v>800511</v>
      </c>
      <c r="B512" s="2" t="s">
        <v>364</v>
      </c>
      <c r="C512" s="2" t="s">
        <v>21</v>
      </c>
      <c r="D512" s="2" t="s">
        <v>101</v>
      </c>
      <c r="E512" s="2" t="s">
        <v>145</v>
      </c>
      <c r="F512" s="2" t="s">
        <v>87</v>
      </c>
      <c r="G512" s="2" t="s">
        <v>125</v>
      </c>
      <c r="H512" s="2" t="s">
        <v>26</v>
      </c>
      <c r="I512" s="2" t="s">
        <v>57</v>
      </c>
      <c r="J512" s="2" t="s">
        <v>104</v>
      </c>
      <c r="K512" s="2" t="s">
        <v>59</v>
      </c>
      <c r="L512" s="2" t="s">
        <v>82</v>
      </c>
      <c r="M512" s="2" t="n">
        <v>269</v>
      </c>
      <c r="N512" s="3" t="n">
        <v>25</v>
      </c>
      <c r="O512" s="4" t="n">
        <v>21.55</v>
      </c>
      <c r="P512" s="5" t="n">
        <v>12.5</v>
      </c>
      <c r="Q512" s="2" t="n">
        <v>0</v>
      </c>
      <c r="R512" s="4" t="n">
        <f aca="false">M512*O512</f>
        <v>5796.95</v>
      </c>
      <c r="S512" s="4" t="n">
        <f aca="false">R512*(P512/100)</f>
        <v>724.61875</v>
      </c>
      <c r="T512" s="4" t="n">
        <f aca="false">R512-S512</f>
        <v>5072.33125</v>
      </c>
    </row>
    <row r="513" customFormat="false" ht="15" hidden="false" customHeight="false" outlineLevel="0" collapsed="false">
      <c r="A513" s="2" t="n">
        <v>800512</v>
      </c>
      <c r="B513" s="2" t="s">
        <v>413</v>
      </c>
      <c r="C513" s="2" t="s">
        <v>21</v>
      </c>
      <c r="D513" s="2" t="s">
        <v>116</v>
      </c>
      <c r="E513" s="2" t="s">
        <v>117</v>
      </c>
      <c r="F513" s="2" t="s">
        <v>35</v>
      </c>
      <c r="G513" s="2" t="s">
        <v>25</v>
      </c>
      <c r="H513" s="2" t="s">
        <v>26</v>
      </c>
      <c r="I513" s="2" t="s">
        <v>57</v>
      </c>
      <c r="J513" s="2" t="s">
        <v>58</v>
      </c>
      <c r="K513" s="2" t="s">
        <v>59</v>
      </c>
      <c r="L513" s="2" t="s">
        <v>47</v>
      </c>
      <c r="M513" s="2" t="n">
        <v>425</v>
      </c>
      <c r="N513" s="3" t="n">
        <v>20</v>
      </c>
      <c r="O513" s="4" t="n">
        <v>18.51</v>
      </c>
      <c r="P513" s="5" t="n">
        <v>5</v>
      </c>
      <c r="Q513" s="2" t="n">
        <v>2</v>
      </c>
      <c r="R513" s="4" t="n">
        <f aca="false">M513*O513</f>
        <v>7866.75</v>
      </c>
      <c r="S513" s="4" t="n">
        <f aca="false">R513*(P513/100)</f>
        <v>393.3375</v>
      </c>
      <c r="T513" s="4" t="n">
        <f aca="false">R513-S513</f>
        <v>7473.4125</v>
      </c>
    </row>
    <row r="514" customFormat="false" ht="15" hidden="false" customHeight="false" outlineLevel="0" collapsed="false">
      <c r="A514" s="2" t="n">
        <v>800513</v>
      </c>
      <c r="B514" s="2" t="s">
        <v>414</v>
      </c>
      <c r="C514" s="2" t="s">
        <v>41</v>
      </c>
      <c r="D514" s="2" t="s">
        <v>73</v>
      </c>
      <c r="E514" s="2" t="s">
        <v>136</v>
      </c>
      <c r="F514" s="2" t="s">
        <v>87</v>
      </c>
      <c r="G514" s="2" t="s">
        <v>36</v>
      </c>
      <c r="H514" s="2" t="s">
        <v>26</v>
      </c>
      <c r="I514" s="2" t="s">
        <v>44</v>
      </c>
      <c r="J514" s="2" t="s">
        <v>126</v>
      </c>
      <c r="K514" s="2" t="s">
        <v>71</v>
      </c>
      <c r="L514" s="2" t="s">
        <v>132</v>
      </c>
      <c r="M514" s="2" t="n">
        <v>227</v>
      </c>
      <c r="N514" s="3" t="n">
        <v>20</v>
      </c>
      <c r="O514" s="4" t="n">
        <v>17.33</v>
      </c>
      <c r="P514" s="5" t="n">
        <v>12.5</v>
      </c>
      <c r="Q514" s="2" t="n">
        <v>3</v>
      </c>
      <c r="R514" s="4" t="n">
        <f aca="false">M514*O514</f>
        <v>3933.91</v>
      </c>
      <c r="S514" s="4" t="n">
        <f aca="false">R514*(P514/100)</f>
        <v>491.73875</v>
      </c>
      <c r="T514" s="4" t="n">
        <f aca="false">R514-S514</f>
        <v>3442.17125</v>
      </c>
    </row>
    <row r="515" customFormat="false" ht="15" hidden="false" customHeight="false" outlineLevel="0" collapsed="false">
      <c r="A515" s="2" t="n">
        <v>800514</v>
      </c>
      <c r="B515" s="2" t="s">
        <v>328</v>
      </c>
      <c r="C515" s="2" t="s">
        <v>32</v>
      </c>
      <c r="D515" s="2" t="s">
        <v>66</v>
      </c>
      <c r="E515" s="2" t="s">
        <v>113</v>
      </c>
      <c r="F515" s="2" t="s">
        <v>24</v>
      </c>
      <c r="G515" s="2" t="s">
        <v>94</v>
      </c>
      <c r="H515" s="2" t="s">
        <v>26</v>
      </c>
      <c r="I515" s="2" t="s">
        <v>69</v>
      </c>
      <c r="J515" s="2" t="s">
        <v>114</v>
      </c>
      <c r="K515" s="2" t="s">
        <v>29</v>
      </c>
      <c r="L515" s="2" t="s">
        <v>53</v>
      </c>
      <c r="M515" s="2" t="n">
        <v>43</v>
      </c>
      <c r="N515" s="3" t="n">
        <v>20</v>
      </c>
      <c r="O515" s="4" t="n">
        <v>17.68</v>
      </c>
      <c r="P515" s="5" t="n">
        <v>0</v>
      </c>
      <c r="Q515" s="2" t="n">
        <v>0</v>
      </c>
      <c r="R515" s="4" t="n">
        <f aca="false">M515*O515</f>
        <v>760.24</v>
      </c>
      <c r="S515" s="4" t="n">
        <f aca="false">R515*(P515/100)</f>
        <v>0</v>
      </c>
      <c r="T515" s="4" t="n">
        <f aca="false">R515-S515</f>
        <v>760.24</v>
      </c>
    </row>
    <row r="516" customFormat="false" ht="15" hidden="false" customHeight="false" outlineLevel="0" collapsed="false">
      <c r="A516" s="2" t="n">
        <v>800515</v>
      </c>
      <c r="B516" s="2" t="s">
        <v>348</v>
      </c>
      <c r="C516" s="2" t="s">
        <v>21</v>
      </c>
      <c r="D516" s="2" t="s">
        <v>147</v>
      </c>
      <c r="E516" s="2" t="s">
        <v>228</v>
      </c>
      <c r="F516" s="2" t="s">
        <v>51</v>
      </c>
      <c r="G516" s="2" t="s">
        <v>143</v>
      </c>
      <c r="H516" s="2" t="s">
        <v>26</v>
      </c>
      <c r="I516" s="2" t="s">
        <v>27</v>
      </c>
      <c r="J516" s="2" t="s">
        <v>28</v>
      </c>
      <c r="K516" s="2" t="s">
        <v>29</v>
      </c>
      <c r="L516" s="2" t="s">
        <v>47</v>
      </c>
      <c r="M516" s="2" t="n">
        <v>78</v>
      </c>
      <c r="N516" s="3" t="n">
        <v>30</v>
      </c>
      <c r="O516" s="4" t="n">
        <v>27.59</v>
      </c>
      <c r="P516" s="5" t="n">
        <v>2</v>
      </c>
      <c r="Q516" s="2" t="n">
        <v>0</v>
      </c>
      <c r="R516" s="4" t="n">
        <f aca="false">M516*O516</f>
        <v>2152.02</v>
      </c>
      <c r="S516" s="4" t="n">
        <f aca="false">R516*(P516/100)</f>
        <v>43.0404</v>
      </c>
      <c r="T516" s="4" t="n">
        <f aca="false">R516-S516</f>
        <v>2108.9796</v>
      </c>
    </row>
    <row r="517" customFormat="false" ht="15" hidden="false" customHeight="false" outlineLevel="0" collapsed="false">
      <c r="A517" s="2" t="n">
        <v>800516</v>
      </c>
      <c r="B517" s="2" t="s">
        <v>319</v>
      </c>
      <c r="C517" s="2" t="s">
        <v>41</v>
      </c>
      <c r="D517" s="2" t="s">
        <v>42</v>
      </c>
      <c r="E517" s="2" t="s">
        <v>179</v>
      </c>
      <c r="F517" s="2" t="s">
        <v>51</v>
      </c>
      <c r="G517" s="2" t="s">
        <v>137</v>
      </c>
      <c r="H517" s="2" t="s">
        <v>26</v>
      </c>
      <c r="I517" s="2" t="s">
        <v>69</v>
      </c>
      <c r="J517" s="2" t="s">
        <v>70</v>
      </c>
      <c r="K517" s="2" t="s">
        <v>39</v>
      </c>
      <c r="L517" s="2" t="s">
        <v>82</v>
      </c>
      <c r="M517" s="2" t="n">
        <v>448</v>
      </c>
      <c r="N517" s="3" t="n">
        <v>20</v>
      </c>
      <c r="O517" s="4" t="n">
        <v>19.7</v>
      </c>
      <c r="P517" s="5" t="n">
        <v>2</v>
      </c>
      <c r="Q517" s="2" t="n">
        <v>0</v>
      </c>
      <c r="R517" s="4" t="n">
        <f aca="false">M517*O517</f>
        <v>8825.6</v>
      </c>
      <c r="S517" s="4" t="n">
        <f aca="false">R517*(P517/100)</f>
        <v>176.512</v>
      </c>
      <c r="T517" s="4" t="n">
        <f aca="false">R517-S517</f>
        <v>8649.088</v>
      </c>
    </row>
    <row r="518" customFormat="false" ht="15" hidden="false" customHeight="false" outlineLevel="0" collapsed="false">
      <c r="A518" s="2" t="n">
        <v>800517</v>
      </c>
      <c r="B518" s="2" t="s">
        <v>381</v>
      </c>
      <c r="C518" s="2" t="s">
        <v>32</v>
      </c>
      <c r="D518" s="2" t="s">
        <v>55</v>
      </c>
      <c r="E518" s="2" t="s">
        <v>56</v>
      </c>
      <c r="F518" s="2" t="s">
        <v>78</v>
      </c>
      <c r="G518" s="2" t="s">
        <v>68</v>
      </c>
      <c r="H518" s="2" t="s">
        <v>26</v>
      </c>
      <c r="I518" s="2" t="s">
        <v>27</v>
      </c>
      <c r="J518" s="2" t="s">
        <v>98</v>
      </c>
      <c r="K518" s="2" t="s">
        <v>46</v>
      </c>
      <c r="L518" s="2" t="s">
        <v>64</v>
      </c>
      <c r="M518" s="2" t="n">
        <v>376</v>
      </c>
      <c r="N518" s="3" t="n">
        <v>99</v>
      </c>
      <c r="O518" s="4" t="n">
        <v>89.28</v>
      </c>
      <c r="P518" s="5" t="n">
        <v>0</v>
      </c>
      <c r="Q518" s="2" t="n">
        <v>2</v>
      </c>
      <c r="R518" s="4" t="n">
        <f aca="false">M518*O518</f>
        <v>33569.28</v>
      </c>
      <c r="S518" s="4" t="n">
        <f aca="false">R518*(P518/100)</f>
        <v>0</v>
      </c>
      <c r="T518" s="4" t="n">
        <f aca="false">R518-S518</f>
        <v>33569.28</v>
      </c>
    </row>
    <row r="519" customFormat="false" ht="15" hidden="false" customHeight="false" outlineLevel="0" collapsed="false">
      <c r="A519" s="2" t="n">
        <v>800518</v>
      </c>
      <c r="B519" s="2" t="s">
        <v>264</v>
      </c>
      <c r="C519" s="2" t="s">
        <v>21</v>
      </c>
      <c r="D519" s="2" t="s">
        <v>116</v>
      </c>
      <c r="E519" s="2" t="s">
        <v>117</v>
      </c>
      <c r="F519" s="2" t="s">
        <v>35</v>
      </c>
      <c r="G519" s="2" t="s">
        <v>103</v>
      </c>
      <c r="H519" s="2" t="s">
        <v>26</v>
      </c>
      <c r="I519" s="2" t="s">
        <v>27</v>
      </c>
      <c r="J519" s="2" t="s">
        <v>28</v>
      </c>
      <c r="K519" s="2" t="s">
        <v>29</v>
      </c>
      <c r="L519" s="2" t="s">
        <v>60</v>
      </c>
      <c r="M519" s="2" t="n">
        <v>61</v>
      </c>
      <c r="N519" s="3" t="n">
        <v>30</v>
      </c>
      <c r="O519" s="4" t="n">
        <v>25.53</v>
      </c>
      <c r="P519" s="5" t="n">
        <v>0</v>
      </c>
      <c r="Q519" s="2" t="n">
        <v>0</v>
      </c>
      <c r="R519" s="4" t="n">
        <f aca="false">M519*O519</f>
        <v>1557.33</v>
      </c>
      <c r="S519" s="4" t="n">
        <f aca="false">R519*(P519/100)</f>
        <v>0</v>
      </c>
      <c r="T519" s="4" t="n">
        <f aca="false">R519-S519</f>
        <v>1557.33</v>
      </c>
    </row>
    <row r="520" customFormat="false" ht="15" hidden="false" customHeight="false" outlineLevel="0" collapsed="false">
      <c r="A520" s="2" t="n">
        <v>800519</v>
      </c>
      <c r="B520" s="2" t="s">
        <v>304</v>
      </c>
      <c r="C520" s="2" t="s">
        <v>84</v>
      </c>
      <c r="D520" s="2" t="s">
        <v>164</v>
      </c>
      <c r="E520" s="2" t="s">
        <v>165</v>
      </c>
      <c r="F520" s="2" t="s">
        <v>24</v>
      </c>
      <c r="G520" s="2" t="s">
        <v>25</v>
      </c>
      <c r="H520" s="2" t="s">
        <v>26</v>
      </c>
      <c r="I520" s="2" t="s">
        <v>27</v>
      </c>
      <c r="J520" s="2" t="s">
        <v>91</v>
      </c>
      <c r="K520" s="2" t="s">
        <v>29</v>
      </c>
      <c r="L520" s="2" t="s">
        <v>30</v>
      </c>
      <c r="M520" s="2" t="n">
        <v>250</v>
      </c>
      <c r="N520" s="3" t="n">
        <v>35</v>
      </c>
      <c r="O520" s="4" t="n">
        <v>31.77</v>
      </c>
      <c r="P520" s="5" t="n">
        <v>0</v>
      </c>
      <c r="Q520" s="2" t="n">
        <v>0</v>
      </c>
      <c r="R520" s="4" t="n">
        <f aca="false">M520*O520</f>
        <v>7942.5</v>
      </c>
      <c r="S520" s="4" t="n">
        <f aca="false">R520*(P520/100)</f>
        <v>0</v>
      </c>
      <c r="T520" s="4" t="n">
        <f aca="false">R520-S520</f>
        <v>7942.5</v>
      </c>
    </row>
    <row r="521" customFormat="false" ht="15" hidden="false" customHeight="false" outlineLevel="0" collapsed="false">
      <c r="A521" s="2" t="n">
        <v>800520</v>
      </c>
      <c r="B521" s="2" t="s">
        <v>415</v>
      </c>
      <c r="C521" s="2" t="s">
        <v>32</v>
      </c>
      <c r="D521" s="2" t="s">
        <v>151</v>
      </c>
      <c r="E521" s="2" t="s">
        <v>158</v>
      </c>
      <c r="F521" s="2" t="s">
        <v>87</v>
      </c>
      <c r="G521" s="2" t="s">
        <v>137</v>
      </c>
      <c r="H521" s="2" t="s">
        <v>26</v>
      </c>
      <c r="I521" s="2" t="s">
        <v>57</v>
      </c>
      <c r="J521" s="2" t="s">
        <v>104</v>
      </c>
      <c r="K521" s="2" t="s">
        <v>59</v>
      </c>
      <c r="L521" s="2" t="s">
        <v>30</v>
      </c>
      <c r="M521" s="2" t="n">
        <v>140</v>
      </c>
      <c r="N521" s="3" t="n">
        <v>25</v>
      </c>
      <c r="O521" s="4" t="n">
        <v>21.92</v>
      </c>
      <c r="P521" s="5" t="n">
        <v>0</v>
      </c>
      <c r="Q521" s="2" t="n">
        <v>1</v>
      </c>
      <c r="R521" s="4" t="n">
        <f aca="false">M521*O521</f>
        <v>3068.8</v>
      </c>
      <c r="S521" s="4" t="n">
        <f aca="false">R521*(P521/100)</f>
        <v>0</v>
      </c>
      <c r="T521" s="4" t="n">
        <f aca="false">R521-S521</f>
        <v>3068.8</v>
      </c>
    </row>
    <row r="522" customFormat="false" ht="15" hidden="false" customHeight="false" outlineLevel="0" collapsed="false">
      <c r="A522" s="2" t="n">
        <v>800521</v>
      </c>
      <c r="B522" s="2" t="s">
        <v>223</v>
      </c>
      <c r="C522" s="2" t="s">
        <v>32</v>
      </c>
      <c r="D522" s="2" t="s">
        <v>151</v>
      </c>
      <c r="E522" s="2" t="s">
        <v>158</v>
      </c>
      <c r="F522" s="2" t="s">
        <v>87</v>
      </c>
      <c r="G522" s="2" t="s">
        <v>36</v>
      </c>
      <c r="H522" s="2" t="s">
        <v>26</v>
      </c>
      <c r="I522" s="2" t="s">
        <v>27</v>
      </c>
      <c r="J522" s="2" t="s">
        <v>28</v>
      </c>
      <c r="K522" s="2" t="s">
        <v>29</v>
      </c>
      <c r="L522" s="2" t="s">
        <v>64</v>
      </c>
      <c r="M522" s="2" t="n">
        <v>370</v>
      </c>
      <c r="N522" s="3" t="n">
        <v>30</v>
      </c>
      <c r="O522" s="4" t="n">
        <v>29.04</v>
      </c>
      <c r="P522" s="5" t="n">
        <v>12.5</v>
      </c>
      <c r="Q522" s="2" t="n">
        <v>2</v>
      </c>
      <c r="R522" s="4" t="n">
        <f aca="false">M522*O522</f>
        <v>10744.8</v>
      </c>
      <c r="S522" s="4" t="n">
        <f aca="false">R522*(P522/100)</f>
        <v>1343.1</v>
      </c>
      <c r="T522" s="4" t="n">
        <f aca="false">R522-S522</f>
        <v>9401.7</v>
      </c>
    </row>
    <row r="523" customFormat="false" ht="15" hidden="false" customHeight="false" outlineLevel="0" collapsed="false">
      <c r="A523" s="2" t="n">
        <v>800522</v>
      </c>
      <c r="B523" s="2" t="s">
        <v>358</v>
      </c>
      <c r="C523" s="2" t="s">
        <v>32</v>
      </c>
      <c r="D523" s="2" t="s">
        <v>66</v>
      </c>
      <c r="E523" s="2" t="s">
        <v>113</v>
      </c>
      <c r="F523" s="2" t="s">
        <v>87</v>
      </c>
      <c r="G523" s="2" t="s">
        <v>68</v>
      </c>
      <c r="H523" s="2" t="s">
        <v>26</v>
      </c>
      <c r="I523" s="2" t="s">
        <v>27</v>
      </c>
      <c r="J523" s="2" t="s">
        <v>98</v>
      </c>
      <c r="K523" s="2" t="s">
        <v>46</v>
      </c>
      <c r="L523" s="2" t="s">
        <v>107</v>
      </c>
      <c r="M523" s="2" t="n">
        <v>191</v>
      </c>
      <c r="N523" s="3" t="n">
        <v>99</v>
      </c>
      <c r="O523" s="4" t="n">
        <v>92.7</v>
      </c>
      <c r="P523" s="5" t="n">
        <v>12.5</v>
      </c>
      <c r="Q523" s="2" t="n">
        <v>0</v>
      </c>
      <c r="R523" s="4" t="n">
        <f aca="false">M523*O523</f>
        <v>17705.7</v>
      </c>
      <c r="S523" s="4" t="n">
        <f aca="false">R523*(P523/100)</f>
        <v>2213.2125</v>
      </c>
      <c r="T523" s="4" t="n">
        <f aca="false">R523-S523</f>
        <v>15492.4875</v>
      </c>
    </row>
    <row r="524" customFormat="false" ht="15" hidden="false" customHeight="false" outlineLevel="0" collapsed="false">
      <c r="A524" s="2" t="n">
        <v>800523</v>
      </c>
      <c r="B524" s="2" t="s">
        <v>115</v>
      </c>
      <c r="C524" s="2" t="s">
        <v>21</v>
      </c>
      <c r="D524" s="2" t="s">
        <v>171</v>
      </c>
      <c r="E524" s="2" t="s">
        <v>172</v>
      </c>
      <c r="F524" s="2" t="s">
        <v>24</v>
      </c>
      <c r="G524" s="2" t="s">
        <v>36</v>
      </c>
      <c r="H524" s="2" t="s">
        <v>26</v>
      </c>
      <c r="I524" s="2" t="s">
        <v>57</v>
      </c>
      <c r="J524" s="2" t="s">
        <v>104</v>
      </c>
      <c r="K524" s="2" t="s">
        <v>59</v>
      </c>
      <c r="L524" s="2" t="s">
        <v>47</v>
      </c>
      <c r="M524" s="2" t="n">
        <v>478</v>
      </c>
      <c r="N524" s="3" t="n">
        <v>25</v>
      </c>
      <c r="O524" s="4" t="n">
        <v>22.07</v>
      </c>
      <c r="P524" s="5" t="n">
        <v>12.5</v>
      </c>
      <c r="Q524" s="2" t="n">
        <v>1</v>
      </c>
      <c r="R524" s="4" t="n">
        <f aca="false">M524*O524</f>
        <v>10549.46</v>
      </c>
      <c r="S524" s="4" t="n">
        <f aca="false">R524*(P524/100)</f>
        <v>1318.6825</v>
      </c>
      <c r="T524" s="4" t="n">
        <f aca="false">R524-S524</f>
        <v>9230.7775</v>
      </c>
    </row>
    <row r="525" customFormat="false" ht="15" hidden="false" customHeight="false" outlineLevel="0" collapsed="false">
      <c r="A525" s="2" t="n">
        <v>800524</v>
      </c>
      <c r="B525" s="2" t="s">
        <v>72</v>
      </c>
      <c r="C525" s="2" t="s">
        <v>32</v>
      </c>
      <c r="D525" s="2" t="s">
        <v>55</v>
      </c>
      <c r="E525" s="2" t="s">
        <v>56</v>
      </c>
      <c r="F525" s="2" t="s">
        <v>78</v>
      </c>
      <c r="G525" s="2" t="s">
        <v>137</v>
      </c>
      <c r="H525" s="2" t="s">
        <v>26</v>
      </c>
      <c r="I525" s="2" t="s">
        <v>27</v>
      </c>
      <c r="J525" s="2" t="s">
        <v>28</v>
      </c>
      <c r="K525" s="2" t="s">
        <v>29</v>
      </c>
      <c r="L525" s="2" t="s">
        <v>99</v>
      </c>
      <c r="M525" s="2" t="n">
        <v>397</v>
      </c>
      <c r="N525" s="3" t="n">
        <v>30</v>
      </c>
      <c r="O525" s="4" t="n">
        <v>27.23</v>
      </c>
      <c r="P525" s="5" t="n">
        <v>2</v>
      </c>
      <c r="Q525" s="2" t="n">
        <v>1</v>
      </c>
      <c r="R525" s="4" t="n">
        <f aca="false">M525*O525</f>
        <v>10810.31</v>
      </c>
      <c r="S525" s="4" t="n">
        <f aca="false">R525*(P525/100)</f>
        <v>216.2062</v>
      </c>
      <c r="T525" s="4" t="n">
        <f aca="false">R525-S525</f>
        <v>10594.1038</v>
      </c>
    </row>
    <row r="526" customFormat="false" ht="15" hidden="false" customHeight="false" outlineLevel="0" collapsed="false">
      <c r="A526" s="2" t="n">
        <v>800525</v>
      </c>
      <c r="B526" s="2" t="s">
        <v>256</v>
      </c>
      <c r="C526" s="2" t="s">
        <v>21</v>
      </c>
      <c r="D526" s="2" t="s">
        <v>101</v>
      </c>
      <c r="E526" s="2" t="s">
        <v>241</v>
      </c>
      <c r="F526" s="2" t="s">
        <v>78</v>
      </c>
      <c r="G526" s="2" t="s">
        <v>103</v>
      </c>
      <c r="H526" s="2" t="s">
        <v>26</v>
      </c>
      <c r="I526" s="2" t="s">
        <v>27</v>
      </c>
      <c r="J526" s="2" t="s">
        <v>28</v>
      </c>
      <c r="K526" s="2" t="s">
        <v>63</v>
      </c>
      <c r="L526" s="2" t="s">
        <v>53</v>
      </c>
      <c r="M526" s="2" t="n">
        <v>252</v>
      </c>
      <c r="N526" s="3" t="n">
        <v>50</v>
      </c>
      <c r="O526" s="4" t="n">
        <v>43.75</v>
      </c>
      <c r="P526" s="5" t="n">
        <v>7.5</v>
      </c>
      <c r="Q526" s="2" t="n">
        <v>0</v>
      </c>
      <c r="R526" s="4" t="n">
        <f aca="false">M526*O526</f>
        <v>11025</v>
      </c>
      <c r="S526" s="4" t="n">
        <f aca="false">R526*(P526/100)</f>
        <v>826.875</v>
      </c>
      <c r="T526" s="4" t="n">
        <f aca="false">R526-S526</f>
        <v>10198.125</v>
      </c>
    </row>
    <row r="527" customFormat="false" ht="15" hidden="false" customHeight="false" outlineLevel="0" collapsed="false">
      <c r="A527" s="2" t="n">
        <v>800526</v>
      </c>
      <c r="B527" s="2" t="s">
        <v>256</v>
      </c>
      <c r="C527" s="2" t="s">
        <v>32</v>
      </c>
      <c r="D527" s="2" t="s">
        <v>55</v>
      </c>
      <c r="E527" s="2" t="s">
        <v>93</v>
      </c>
      <c r="F527" s="2" t="s">
        <v>24</v>
      </c>
      <c r="G527" s="2" t="s">
        <v>137</v>
      </c>
      <c r="H527" s="2" t="s">
        <v>26</v>
      </c>
      <c r="I527" s="2" t="s">
        <v>27</v>
      </c>
      <c r="J527" s="2" t="s">
        <v>28</v>
      </c>
      <c r="K527" s="2" t="s">
        <v>29</v>
      </c>
      <c r="L527" s="2" t="s">
        <v>53</v>
      </c>
      <c r="M527" s="2" t="n">
        <v>50</v>
      </c>
      <c r="N527" s="3" t="n">
        <v>30</v>
      </c>
      <c r="O527" s="4" t="n">
        <v>26.68</v>
      </c>
      <c r="P527" s="5" t="n">
        <v>0</v>
      </c>
      <c r="Q527" s="2" t="n">
        <v>2</v>
      </c>
      <c r="R527" s="4" t="n">
        <f aca="false">M527*O527</f>
        <v>1334</v>
      </c>
      <c r="S527" s="4" t="n">
        <f aca="false">R527*(P527/100)</f>
        <v>0</v>
      </c>
      <c r="T527" s="4" t="n">
        <f aca="false">R527-S527</f>
        <v>1334</v>
      </c>
    </row>
    <row r="528" customFormat="false" ht="15" hidden="false" customHeight="false" outlineLevel="0" collapsed="false">
      <c r="A528" s="2" t="n">
        <v>800527</v>
      </c>
      <c r="B528" s="2" t="s">
        <v>216</v>
      </c>
      <c r="C528" s="2" t="s">
        <v>41</v>
      </c>
      <c r="D528" s="2" t="s">
        <v>73</v>
      </c>
      <c r="E528" s="2" t="s">
        <v>74</v>
      </c>
      <c r="F528" s="2" t="s">
        <v>24</v>
      </c>
      <c r="G528" s="2" t="s">
        <v>68</v>
      </c>
      <c r="H528" s="2" t="s">
        <v>26</v>
      </c>
      <c r="I528" s="2" t="s">
        <v>37</v>
      </c>
      <c r="J528" s="2" t="s">
        <v>38</v>
      </c>
      <c r="K528" s="2" t="s">
        <v>39</v>
      </c>
      <c r="L528" s="2" t="s">
        <v>53</v>
      </c>
      <c r="M528" s="2" t="n">
        <v>483</v>
      </c>
      <c r="N528" s="3" t="n">
        <v>30</v>
      </c>
      <c r="O528" s="4" t="n">
        <v>26.21</v>
      </c>
      <c r="P528" s="5" t="n">
        <v>2</v>
      </c>
      <c r="Q528" s="2" t="n">
        <v>0</v>
      </c>
      <c r="R528" s="4" t="n">
        <f aca="false">M528*O528</f>
        <v>12659.43</v>
      </c>
      <c r="S528" s="4" t="n">
        <f aca="false">R528*(P528/100)</f>
        <v>253.1886</v>
      </c>
      <c r="T528" s="4" t="n">
        <f aca="false">R528-S528</f>
        <v>12406.2414</v>
      </c>
    </row>
    <row r="529" customFormat="false" ht="15" hidden="false" customHeight="false" outlineLevel="0" collapsed="false">
      <c r="A529" s="2" t="n">
        <v>800528</v>
      </c>
      <c r="B529" s="2" t="s">
        <v>416</v>
      </c>
      <c r="C529" s="2" t="s">
        <v>41</v>
      </c>
      <c r="D529" s="2" t="s">
        <v>73</v>
      </c>
      <c r="E529" s="2" t="s">
        <v>167</v>
      </c>
      <c r="F529" s="2" t="s">
        <v>51</v>
      </c>
      <c r="G529" s="2" t="s">
        <v>94</v>
      </c>
      <c r="H529" s="2" t="s">
        <v>26</v>
      </c>
      <c r="I529" s="2" t="s">
        <v>44</v>
      </c>
      <c r="J529" s="2" t="s">
        <v>45</v>
      </c>
      <c r="K529" s="2" t="s">
        <v>46</v>
      </c>
      <c r="L529" s="2" t="s">
        <v>161</v>
      </c>
      <c r="M529" s="2" t="n">
        <v>396</v>
      </c>
      <c r="N529" s="3" t="n">
        <v>20</v>
      </c>
      <c r="O529" s="4" t="n">
        <v>19.44</v>
      </c>
      <c r="P529" s="5" t="n">
        <v>2</v>
      </c>
      <c r="Q529" s="2" t="n">
        <v>1</v>
      </c>
      <c r="R529" s="4" t="n">
        <f aca="false">M529*O529</f>
        <v>7698.24</v>
      </c>
      <c r="S529" s="4" t="n">
        <f aca="false">R529*(P529/100)</f>
        <v>153.9648</v>
      </c>
      <c r="T529" s="4" t="n">
        <f aca="false">R529-S529</f>
        <v>7544.2752</v>
      </c>
    </row>
    <row r="530" customFormat="false" ht="15" hidden="false" customHeight="false" outlineLevel="0" collapsed="false">
      <c r="A530" s="2" t="n">
        <v>800529</v>
      </c>
      <c r="B530" s="2" t="s">
        <v>282</v>
      </c>
      <c r="C530" s="2" t="s">
        <v>32</v>
      </c>
      <c r="D530" s="2" t="s">
        <v>76</v>
      </c>
      <c r="E530" s="2" t="s">
        <v>96</v>
      </c>
      <c r="F530" s="2" t="s">
        <v>35</v>
      </c>
      <c r="G530" s="2" t="s">
        <v>36</v>
      </c>
      <c r="H530" s="2" t="s">
        <v>26</v>
      </c>
      <c r="I530" s="2" t="s">
        <v>57</v>
      </c>
      <c r="J530" s="2" t="s">
        <v>104</v>
      </c>
      <c r="K530" s="2" t="s">
        <v>59</v>
      </c>
      <c r="L530" s="2" t="s">
        <v>132</v>
      </c>
      <c r="M530" s="2" t="n">
        <v>260</v>
      </c>
      <c r="N530" s="3" t="n">
        <v>25</v>
      </c>
      <c r="O530" s="4" t="n">
        <v>23.82</v>
      </c>
      <c r="P530" s="5" t="n">
        <v>0</v>
      </c>
      <c r="Q530" s="2" t="n">
        <v>1</v>
      </c>
      <c r="R530" s="4" t="n">
        <f aca="false">M530*O530</f>
        <v>6193.2</v>
      </c>
      <c r="S530" s="4" t="n">
        <f aca="false">R530*(P530/100)</f>
        <v>0</v>
      </c>
      <c r="T530" s="4" t="n">
        <f aca="false">R530-S530</f>
        <v>6193.2</v>
      </c>
    </row>
    <row r="531" customFormat="false" ht="15" hidden="false" customHeight="false" outlineLevel="0" collapsed="false">
      <c r="A531" s="2" t="n">
        <v>800530</v>
      </c>
      <c r="B531" s="2" t="s">
        <v>410</v>
      </c>
      <c r="C531" s="2" t="s">
        <v>41</v>
      </c>
      <c r="D531" s="2" t="s">
        <v>42</v>
      </c>
      <c r="E531" s="2" t="s">
        <v>179</v>
      </c>
      <c r="F531" s="2" t="s">
        <v>78</v>
      </c>
      <c r="G531" s="2" t="s">
        <v>94</v>
      </c>
      <c r="H531" s="2" t="s">
        <v>26</v>
      </c>
      <c r="I531" s="2" t="s">
        <v>57</v>
      </c>
      <c r="J531" s="2" t="s">
        <v>104</v>
      </c>
      <c r="K531" s="2" t="s">
        <v>59</v>
      </c>
      <c r="L531" s="2" t="s">
        <v>47</v>
      </c>
      <c r="M531" s="2" t="n">
        <v>305</v>
      </c>
      <c r="N531" s="3" t="n">
        <v>25</v>
      </c>
      <c r="O531" s="4" t="n">
        <v>23.89</v>
      </c>
      <c r="P531" s="5" t="n">
        <v>10</v>
      </c>
      <c r="Q531" s="2" t="n">
        <v>0</v>
      </c>
      <c r="R531" s="4" t="n">
        <f aca="false">M531*O531</f>
        <v>7286.45</v>
      </c>
      <c r="S531" s="4" t="n">
        <f aca="false">R531*(P531/100)</f>
        <v>728.645</v>
      </c>
      <c r="T531" s="4" t="n">
        <f aca="false">R531-S531</f>
        <v>6557.805</v>
      </c>
    </row>
    <row r="532" customFormat="false" ht="15" hidden="false" customHeight="false" outlineLevel="0" collapsed="false">
      <c r="A532" s="2" t="n">
        <v>800531</v>
      </c>
      <c r="B532" s="2" t="s">
        <v>277</v>
      </c>
      <c r="C532" s="2" t="s">
        <v>84</v>
      </c>
      <c r="D532" s="2" t="s">
        <v>119</v>
      </c>
      <c r="E532" s="2" t="s">
        <v>120</v>
      </c>
      <c r="F532" s="2" t="s">
        <v>78</v>
      </c>
      <c r="G532" s="2" t="s">
        <v>36</v>
      </c>
      <c r="H532" s="2" t="s">
        <v>26</v>
      </c>
      <c r="I532" s="2" t="s">
        <v>57</v>
      </c>
      <c r="J532" s="2" t="s">
        <v>58</v>
      </c>
      <c r="K532" s="2" t="s">
        <v>59</v>
      </c>
      <c r="L532" s="2" t="s">
        <v>64</v>
      </c>
      <c r="M532" s="2" t="n">
        <v>380</v>
      </c>
      <c r="N532" s="3" t="n">
        <v>20</v>
      </c>
      <c r="O532" s="4" t="n">
        <v>18.29</v>
      </c>
      <c r="P532" s="5" t="n">
        <v>0</v>
      </c>
      <c r="Q532" s="2" t="n">
        <v>2</v>
      </c>
      <c r="R532" s="4" t="n">
        <f aca="false">M532*O532</f>
        <v>6950.2</v>
      </c>
      <c r="S532" s="4" t="n">
        <f aca="false">R532*(P532/100)</f>
        <v>0</v>
      </c>
      <c r="T532" s="4" t="n">
        <f aca="false">R532-S532</f>
        <v>6950.2</v>
      </c>
    </row>
    <row r="533" customFormat="false" ht="15" hidden="false" customHeight="false" outlineLevel="0" collapsed="false">
      <c r="A533" s="2" t="n">
        <v>800532</v>
      </c>
      <c r="B533" s="2" t="s">
        <v>184</v>
      </c>
      <c r="C533" s="2" t="s">
        <v>32</v>
      </c>
      <c r="D533" s="2" t="s">
        <v>151</v>
      </c>
      <c r="E533" s="2" t="s">
        <v>158</v>
      </c>
      <c r="F533" s="2" t="s">
        <v>87</v>
      </c>
      <c r="G533" s="2" t="s">
        <v>62</v>
      </c>
      <c r="H533" s="2" t="s">
        <v>26</v>
      </c>
      <c r="I533" s="2" t="s">
        <v>57</v>
      </c>
      <c r="J533" s="2" t="s">
        <v>104</v>
      </c>
      <c r="K533" s="2" t="s">
        <v>59</v>
      </c>
      <c r="L533" s="2" t="s">
        <v>47</v>
      </c>
      <c r="M533" s="2" t="n">
        <v>217</v>
      </c>
      <c r="N533" s="3" t="n">
        <v>25</v>
      </c>
      <c r="O533" s="4" t="n">
        <v>24.38</v>
      </c>
      <c r="P533" s="5" t="n">
        <v>7.5</v>
      </c>
      <c r="Q533" s="2" t="n">
        <v>3</v>
      </c>
      <c r="R533" s="4" t="n">
        <f aca="false">M533*O533</f>
        <v>5290.46</v>
      </c>
      <c r="S533" s="4" t="n">
        <f aca="false">R533*(P533/100)</f>
        <v>396.7845</v>
      </c>
      <c r="T533" s="4" t="n">
        <f aca="false">R533-S533</f>
        <v>4893.6755</v>
      </c>
    </row>
    <row r="534" customFormat="false" ht="15" hidden="false" customHeight="false" outlineLevel="0" collapsed="false">
      <c r="A534" s="2" t="n">
        <v>800533</v>
      </c>
      <c r="B534" s="2" t="s">
        <v>208</v>
      </c>
      <c r="C534" s="2" t="s">
        <v>84</v>
      </c>
      <c r="D534" s="2" t="s">
        <v>164</v>
      </c>
      <c r="E534" s="2" t="s">
        <v>165</v>
      </c>
      <c r="F534" s="2" t="s">
        <v>35</v>
      </c>
      <c r="G534" s="2" t="s">
        <v>90</v>
      </c>
      <c r="H534" s="2" t="s">
        <v>26</v>
      </c>
      <c r="I534" s="2" t="s">
        <v>37</v>
      </c>
      <c r="J534" s="2" t="s">
        <v>38</v>
      </c>
      <c r="K534" s="2" t="s">
        <v>39</v>
      </c>
      <c r="L534" s="2" t="s">
        <v>47</v>
      </c>
      <c r="M534" s="2" t="n">
        <v>337</v>
      </c>
      <c r="N534" s="3" t="n">
        <v>30</v>
      </c>
      <c r="O534" s="4" t="n">
        <v>29.2</v>
      </c>
      <c r="P534" s="5" t="n">
        <v>0</v>
      </c>
      <c r="Q534" s="2" t="n">
        <v>3</v>
      </c>
      <c r="R534" s="4" t="n">
        <f aca="false">M534*O534</f>
        <v>9840.4</v>
      </c>
      <c r="S534" s="4" t="n">
        <f aca="false">R534*(P534/100)</f>
        <v>0</v>
      </c>
      <c r="T534" s="4" t="n">
        <f aca="false">R534-S534</f>
        <v>9840.4</v>
      </c>
    </row>
    <row r="535" customFormat="false" ht="15" hidden="false" customHeight="false" outlineLevel="0" collapsed="false">
      <c r="A535" s="2" t="n">
        <v>800534</v>
      </c>
      <c r="B535" s="2" t="s">
        <v>417</v>
      </c>
      <c r="C535" s="2" t="s">
        <v>84</v>
      </c>
      <c r="D535" s="2" t="s">
        <v>128</v>
      </c>
      <c r="E535" s="2" t="s">
        <v>129</v>
      </c>
      <c r="F535" s="2" t="s">
        <v>51</v>
      </c>
      <c r="G535" s="2" t="s">
        <v>137</v>
      </c>
      <c r="H535" s="2" t="s">
        <v>26</v>
      </c>
      <c r="I535" s="2" t="s">
        <v>57</v>
      </c>
      <c r="J535" s="2" t="s">
        <v>104</v>
      </c>
      <c r="K535" s="2" t="s">
        <v>59</v>
      </c>
      <c r="L535" s="2" t="s">
        <v>82</v>
      </c>
      <c r="M535" s="2" t="n">
        <v>207</v>
      </c>
      <c r="N535" s="3" t="n">
        <v>25</v>
      </c>
      <c r="O535" s="4" t="n">
        <v>21.86</v>
      </c>
      <c r="P535" s="5" t="n">
        <v>0</v>
      </c>
      <c r="Q535" s="2" t="n">
        <v>3</v>
      </c>
      <c r="R535" s="4" t="n">
        <f aca="false">M535*O535</f>
        <v>4525.02</v>
      </c>
      <c r="S535" s="4" t="n">
        <f aca="false">R535*(P535/100)</f>
        <v>0</v>
      </c>
      <c r="T535" s="4" t="n">
        <f aca="false">R535-S535</f>
        <v>4525.02</v>
      </c>
    </row>
    <row r="536" customFormat="false" ht="15" hidden="false" customHeight="false" outlineLevel="0" collapsed="false">
      <c r="A536" s="2" t="n">
        <v>800535</v>
      </c>
      <c r="B536" s="2" t="s">
        <v>418</v>
      </c>
      <c r="C536" s="2" t="s">
        <v>32</v>
      </c>
      <c r="D536" s="2" t="s">
        <v>33</v>
      </c>
      <c r="E536" s="2" t="s">
        <v>187</v>
      </c>
      <c r="F536" s="2" t="s">
        <v>24</v>
      </c>
      <c r="G536" s="2" t="s">
        <v>90</v>
      </c>
      <c r="H536" s="2" t="s">
        <v>26</v>
      </c>
      <c r="I536" s="2" t="s">
        <v>69</v>
      </c>
      <c r="J536" s="2" t="s">
        <v>114</v>
      </c>
      <c r="K536" s="2" t="s">
        <v>29</v>
      </c>
      <c r="L536" s="2" t="s">
        <v>53</v>
      </c>
      <c r="M536" s="2" t="n">
        <v>466</v>
      </c>
      <c r="N536" s="3" t="n">
        <v>20</v>
      </c>
      <c r="O536" s="4" t="n">
        <v>19.69</v>
      </c>
      <c r="P536" s="5" t="n">
        <v>2</v>
      </c>
      <c r="Q536" s="2" t="n">
        <v>0</v>
      </c>
      <c r="R536" s="4" t="n">
        <f aca="false">M536*O536</f>
        <v>9175.54</v>
      </c>
      <c r="S536" s="4" t="n">
        <f aca="false">R536*(P536/100)</f>
        <v>183.5108</v>
      </c>
      <c r="T536" s="4" t="n">
        <f aca="false">R536-S536</f>
        <v>8992.0292</v>
      </c>
    </row>
    <row r="537" customFormat="false" ht="15" hidden="false" customHeight="false" outlineLevel="0" collapsed="false">
      <c r="A537" s="2" t="n">
        <v>800536</v>
      </c>
      <c r="B537" s="2" t="s">
        <v>417</v>
      </c>
      <c r="C537" s="2" t="s">
        <v>84</v>
      </c>
      <c r="D537" s="2" t="s">
        <v>119</v>
      </c>
      <c r="E537" s="2" t="s">
        <v>201</v>
      </c>
      <c r="F537" s="2" t="s">
        <v>87</v>
      </c>
      <c r="G537" s="2" t="s">
        <v>36</v>
      </c>
      <c r="H537" s="2" t="s">
        <v>26</v>
      </c>
      <c r="I537" s="2" t="s">
        <v>69</v>
      </c>
      <c r="J537" s="2" t="s">
        <v>81</v>
      </c>
      <c r="K537" s="2" t="s">
        <v>71</v>
      </c>
      <c r="L537" s="2" t="s">
        <v>82</v>
      </c>
      <c r="M537" s="2" t="n">
        <v>251</v>
      </c>
      <c r="N537" s="3" t="n">
        <v>40</v>
      </c>
      <c r="O537" s="4" t="n">
        <v>36.72</v>
      </c>
      <c r="P537" s="5" t="n">
        <v>0</v>
      </c>
      <c r="Q537" s="2" t="n">
        <v>2</v>
      </c>
      <c r="R537" s="4" t="n">
        <f aca="false">M537*O537</f>
        <v>9216.72</v>
      </c>
      <c r="S537" s="4" t="n">
        <f aca="false">R537*(P537/100)</f>
        <v>0</v>
      </c>
      <c r="T537" s="4" t="n">
        <f aca="false">R537-S537</f>
        <v>9216.72</v>
      </c>
    </row>
    <row r="538" customFormat="false" ht="15" hidden="false" customHeight="false" outlineLevel="0" collapsed="false">
      <c r="A538" s="2" t="n">
        <v>800537</v>
      </c>
      <c r="B538" s="2" t="s">
        <v>352</v>
      </c>
      <c r="C538" s="2" t="s">
        <v>84</v>
      </c>
      <c r="D538" s="2" t="s">
        <v>164</v>
      </c>
      <c r="E538" s="2" t="s">
        <v>165</v>
      </c>
      <c r="F538" s="2" t="s">
        <v>78</v>
      </c>
      <c r="G538" s="2" t="s">
        <v>25</v>
      </c>
      <c r="H538" s="2" t="s">
        <v>26</v>
      </c>
      <c r="I538" s="2" t="s">
        <v>57</v>
      </c>
      <c r="J538" s="2" t="s">
        <v>104</v>
      </c>
      <c r="K538" s="2" t="s">
        <v>59</v>
      </c>
      <c r="L538" s="2" t="s">
        <v>47</v>
      </c>
      <c r="M538" s="2" t="n">
        <v>220</v>
      </c>
      <c r="N538" s="3" t="n">
        <v>25</v>
      </c>
      <c r="O538" s="4" t="n">
        <v>24.39</v>
      </c>
      <c r="P538" s="5" t="n">
        <v>5</v>
      </c>
      <c r="Q538" s="2" t="n">
        <v>0</v>
      </c>
      <c r="R538" s="4" t="n">
        <f aca="false">M538*O538</f>
        <v>5365.8</v>
      </c>
      <c r="S538" s="4" t="n">
        <f aca="false">R538*(P538/100)</f>
        <v>268.29</v>
      </c>
      <c r="T538" s="4" t="n">
        <f aca="false">R538-S538</f>
        <v>5097.51</v>
      </c>
    </row>
    <row r="539" customFormat="false" ht="15" hidden="false" customHeight="false" outlineLevel="0" collapsed="false">
      <c r="A539" s="2" t="n">
        <v>800538</v>
      </c>
      <c r="B539" s="2" t="s">
        <v>410</v>
      </c>
      <c r="C539" s="2" t="s">
        <v>32</v>
      </c>
      <c r="D539" s="2" t="s">
        <v>55</v>
      </c>
      <c r="E539" s="2" t="s">
        <v>56</v>
      </c>
      <c r="F539" s="2" t="s">
        <v>24</v>
      </c>
      <c r="G539" s="2" t="s">
        <v>94</v>
      </c>
      <c r="H539" s="2" t="s">
        <v>26</v>
      </c>
      <c r="I539" s="2" t="s">
        <v>27</v>
      </c>
      <c r="J539" s="2" t="s">
        <v>28</v>
      </c>
      <c r="K539" s="2" t="s">
        <v>63</v>
      </c>
      <c r="L539" s="2" t="s">
        <v>30</v>
      </c>
      <c r="M539" s="2" t="n">
        <v>341</v>
      </c>
      <c r="N539" s="3" t="n">
        <v>50</v>
      </c>
      <c r="O539" s="4" t="n">
        <v>42.66</v>
      </c>
      <c r="P539" s="5" t="n">
        <v>10</v>
      </c>
      <c r="Q539" s="2" t="n">
        <v>3</v>
      </c>
      <c r="R539" s="4" t="n">
        <f aca="false">M539*O539</f>
        <v>14547.06</v>
      </c>
      <c r="S539" s="4" t="n">
        <f aca="false">R539*(P539/100)</f>
        <v>1454.706</v>
      </c>
      <c r="T539" s="4" t="n">
        <f aca="false">R539-S539</f>
        <v>13092.354</v>
      </c>
    </row>
    <row r="540" customFormat="false" ht="15" hidden="false" customHeight="false" outlineLevel="0" collapsed="false">
      <c r="A540" s="2" t="n">
        <v>800539</v>
      </c>
      <c r="B540" s="2" t="s">
        <v>403</v>
      </c>
      <c r="C540" s="2" t="s">
        <v>41</v>
      </c>
      <c r="D540" s="2" t="s">
        <v>42</v>
      </c>
      <c r="E540" s="2" t="s">
        <v>43</v>
      </c>
      <c r="F540" s="2" t="s">
        <v>51</v>
      </c>
      <c r="G540" s="2" t="s">
        <v>125</v>
      </c>
      <c r="H540" s="2" t="s">
        <v>26</v>
      </c>
      <c r="I540" s="2" t="s">
        <v>69</v>
      </c>
      <c r="J540" s="2" t="s">
        <v>81</v>
      </c>
      <c r="K540" s="2" t="s">
        <v>39</v>
      </c>
      <c r="L540" s="2" t="s">
        <v>99</v>
      </c>
      <c r="M540" s="2" t="n">
        <v>52</v>
      </c>
      <c r="N540" s="3" t="n">
        <v>20</v>
      </c>
      <c r="O540" s="4" t="n">
        <v>17.06</v>
      </c>
      <c r="P540" s="5" t="n">
        <v>2</v>
      </c>
      <c r="Q540" s="2" t="n">
        <v>3</v>
      </c>
      <c r="R540" s="4" t="n">
        <f aca="false">M540*O540</f>
        <v>887.12</v>
      </c>
      <c r="S540" s="4" t="n">
        <f aca="false">R540*(P540/100)</f>
        <v>17.7424</v>
      </c>
      <c r="T540" s="4" t="n">
        <f aca="false">R540-S540</f>
        <v>869.3776</v>
      </c>
    </row>
    <row r="541" customFormat="false" ht="15" hidden="false" customHeight="false" outlineLevel="0" collapsed="false">
      <c r="A541" s="2" t="n">
        <v>800540</v>
      </c>
      <c r="B541" s="2" t="s">
        <v>248</v>
      </c>
      <c r="C541" s="2" t="s">
        <v>84</v>
      </c>
      <c r="D541" s="2" t="s">
        <v>164</v>
      </c>
      <c r="E541" s="2" t="s">
        <v>165</v>
      </c>
      <c r="F541" s="2" t="s">
        <v>87</v>
      </c>
      <c r="G541" s="2" t="s">
        <v>94</v>
      </c>
      <c r="H541" s="2" t="s">
        <v>26</v>
      </c>
      <c r="I541" s="2" t="s">
        <v>37</v>
      </c>
      <c r="J541" s="2" t="s">
        <v>38</v>
      </c>
      <c r="K541" s="2" t="s">
        <v>39</v>
      </c>
      <c r="L541" s="2" t="s">
        <v>60</v>
      </c>
      <c r="M541" s="2" t="n">
        <v>175</v>
      </c>
      <c r="N541" s="3" t="n">
        <v>30</v>
      </c>
      <c r="O541" s="4" t="n">
        <v>27.88</v>
      </c>
      <c r="P541" s="5" t="n">
        <v>5</v>
      </c>
      <c r="Q541" s="2" t="n">
        <v>0</v>
      </c>
      <c r="R541" s="4" t="n">
        <f aca="false">M541*O541</f>
        <v>4879</v>
      </c>
      <c r="S541" s="4" t="n">
        <f aca="false">R541*(P541/100)</f>
        <v>243.95</v>
      </c>
      <c r="T541" s="4" t="n">
        <f aca="false">R541-S541</f>
        <v>4635.05</v>
      </c>
    </row>
    <row r="542" customFormat="false" ht="15" hidden="false" customHeight="false" outlineLevel="0" collapsed="false">
      <c r="A542" s="2" t="n">
        <v>800541</v>
      </c>
      <c r="B542" s="2" t="s">
        <v>149</v>
      </c>
      <c r="C542" s="2" t="s">
        <v>32</v>
      </c>
      <c r="D542" s="2" t="s">
        <v>151</v>
      </c>
      <c r="E542" s="2" t="s">
        <v>152</v>
      </c>
      <c r="F542" s="2" t="s">
        <v>87</v>
      </c>
      <c r="G542" s="2" t="s">
        <v>36</v>
      </c>
      <c r="H542" s="2" t="s">
        <v>26</v>
      </c>
      <c r="I542" s="2" t="s">
        <v>27</v>
      </c>
      <c r="J542" s="2" t="s">
        <v>91</v>
      </c>
      <c r="K542" s="2" t="s">
        <v>29</v>
      </c>
      <c r="L542" s="2" t="s">
        <v>107</v>
      </c>
      <c r="M542" s="2" t="n">
        <v>253</v>
      </c>
      <c r="N542" s="3" t="n">
        <v>35</v>
      </c>
      <c r="O542" s="4" t="n">
        <v>34.44</v>
      </c>
      <c r="P542" s="5" t="n">
        <v>0</v>
      </c>
      <c r="Q542" s="2" t="n">
        <v>3</v>
      </c>
      <c r="R542" s="4" t="n">
        <f aca="false">M542*O542</f>
        <v>8713.32</v>
      </c>
      <c r="S542" s="4" t="n">
        <f aca="false">R542*(P542/100)</f>
        <v>0</v>
      </c>
      <c r="T542" s="4" t="n">
        <f aca="false">R542-S542</f>
        <v>8713.32</v>
      </c>
    </row>
    <row r="543" customFormat="false" ht="15" hidden="false" customHeight="false" outlineLevel="0" collapsed="false">
      <c r="A543" s="2" t="n">
        <v>800542</v>
      </c>
      <c r="B543" s="2" t="s">
        <v>121</v>
      </c>
      <c r="C543" s="2" t="s">
        <v>32</v>
      </c>
      <c r="D543" s="2" t="s">
        <v>33</v>
      </c>
      <c r="E543" s="2" t="s">
        <v>34</v>
      </c>
      <c r="F543" s="2" t="s">
        <v>24</v>
      </c>
      <c r="G543" s="2" t="s">
        <v>106</v>
      </c>
      <c r="H543" s="2" t="s">
        <v>26</v>
      </c>
      <c r="I543" s="2" t="s">
        <v>27</v>
      </c>
      <c r="J543" s="2" t="s">
        <v>28</v>
      </c>
      <c r="K543" s="2" t="s">
        <v>29</v>
      </c>
      <c r="L543" s="2" t="s">
        <v>132</v>
      </c>
      <c r="M543" s="2" t="n">
        <v>182</v>
      </c>
      <c r="N543" s="3" t="n">
        <v>30</v>
      </c>
      <c r="O543" s="4" t="n">
        <v>27.91</v>
      </c>
      <c r="P543" s="5" t="n">
        <v>12.5</v>
      </c>
      <c r="Q543" s="2" t="n">
        <v>0</v>
      </c>
      <c r="R543" s="4" t="n">
        <f aca="false">M543*O543</f>
        <v>5079.62</v>
      </c>
      <c r="S543" s="4" t="n">
        <f aca="false">R543*(P543/100)</f>
        <v>634.9525</v>
      </c>
      <c r="T543" s="4" t="n">
        <f aca="false">R543-S543</f>
        <v>4444.6675</v>
      </c>
    </row>
    <row r="544" customFormat="false" ht="15" hidden="false" customHeight="false" outlineLevel="0" collapsed="false">
      <c r="A544" s="2" t="n">
        <v>800543</v>
      </c>
      <c r="B544" s="2" t="s">
        <v>419</v>
      </c>
      <c r="C544" s="2" t="s">
        <v>32</v>
      </c>
      <c r="D544" s="2" t="s">
        <v>33</v>
      </c>
      <c r="E544" s="2" t="s">
        <v>34</v>
      </c>
      <c r="F544" s="2" t="s">
        <v>78</v>
      </c>
      <c r="G544" s="2" t="s">
        <v>62</v>
      </c>
      <c r="H544" s="2" t="s">
        <v>26</v>
      </c>
      <c r="I544" s="2" t="s">
        <v>44</v>
      </c>
      <c r="J544" s="2" t="s">
        <v>45</v>
      </c>
      <c r="K544" s="2" t="s">
        <v>111</v>
      </c>
      <c r="L544" s="2" t="s">
        <v>64</v>
      </c>
      <c r="M544" s="2" t="n">
        <v>210</v>
      </c>
      <c r="N544" s="3" t="n">
        <v>10</v>
      </c>
      <c r="O544" s="4" t="n">
        <v>9.13</v>
      </c>
      <c r="P544" s="5" t="n">
        <v>0</v>
      </c>
      <c r="Q544" s="2" t="n">
        <v>3</v>
      </c>
      <c r="R544" s="4" t="n">
        <f aca="false">M544*O544</f>
        <v>1917.3</v>
      </c>
      <c r="S544" s="4" t="n">
        <f aca="false">R544*(P544/100)</f>
        <v>0</v>
      </c>
      <c r="T544" s="4" t="n">
        <f aca="false">R544-S544</f>
        <v>1917.3</v>
      </c>
    </row>
    <row r="545" customFormat="false" ht="15" hidden="false" customHeight="false" outlineLevel="0" collapsed="false">
      <c r="A545" s="2" t="n">
        <v>800544</v>
      </c>
      <c r="B545" s="2" t="s">
        <v>260</v>
      </c>
      <c r="C545" s="2" t="s">
        <v>21</v>
      </c>
      <c r="D545" s="2" t="s">
        <v>22</v>
      </c>
      <c r="E545" s="2" t="s">
        <v>23</v>
      </c>
      <c r="F545" s="2" t="s">
        <v>51</v>
      </c>
      <c r="G545" s="2" t="s">
        <v>106</v>
      </c>
      <c r="H545" s="2" t="s">
        <v>26</v>
      </c>
      <c r="I545" s="2" t="s">
        <v>57</v>
      </c>
      <c r="J545" s="2" t="s">
        <v>58</v>
      </c>
      <c r="K545" s="2" t="s">
        <v>59</v>
      </c>
      <c r="L545" s="2" t="s">
        <v>64</v>
      </c>
      <c r="M545" s="2" t="n">
        <v>22</v>
      </c>
      <c r="N545" s="3" t="n">
        <v>20</v>
      </c>
      <c r="O545" s="4" t="n">
        <v>19.72</v>
      </c>
      <c r="P545" s="5" t="n">
        <v>7.5</v>
      </c>
      <c r="Q545" s="2" t="n">
        <v>0</v>
      </c>
      <c r="R545" s="4" t="n">
        <f aca="false">M545*O545</f>
        <v>433.84</v>
      </c>
      <c r="S545" s="4" t="n">
        <f aca="false">R545*(P545/100)</f>
        <v>32.538</v>
      </c>
      <c r="T545" s="4" t="n">
        <f aca="false">R545-S545</f>
        <v>401.302</v>
      </c>
    </row>
    <row r="546" customFormat="false" ht="15" hidden="false" customHeight="false" outlineLevel="0" collapsed="false">
      <c r="A546" s="2" t="n">
        <v>800545</v>
      </c>
      <c r="B546" s="2" t="s">
        <v>420</v>
      </c>
      <c r="C546" s="2" t="s">
        <v>84</v>
      </c>
      <c r="D546" s="2" t="s">
        <v>85</v>
      </c>
      <c r="E546" s="2" t="s">
        <v>124</v>
      </c>
      <c r="F546" s="2" t="s">
        <v>87</v>
      </c>
      <c r="G546" s="2" t="s">
        <v>125</v>
      </c>
      <c r="H546" s="2" t="s">
        <v>26</v>
      </c>
      <c r="I546" s="2" t="s">
        <v>69</v>
      </c>
      <c r="J546" s="2" t="s">
        <v>114</v>
      </c>
      <c r="K546" s="2" t="s">
        <v>29</v>
      </c>
      <c r="L546" s="2" t="s">
        <v>132</v>
      </c>
      <c r="M546" s="2" t="n">
        <v>91</v>
      </c>
      <c r="N546" s="3" t="n">
        <v>20</v>
      </c>
      <c r="O546" s="4" t="n">
        <v>18.9</v>
      </c>
      <c r="P546" s="5" t="n">
        <v>0</v>
      </c>
      <c r="Q546" s="2" t="n">
        <v>0</v>
      </c>
      <c r="R546" s="4" t="n">
        <f aca="false">M546*O546</f>
        <v>1719.9</v>
      </c>
      <c r="S546" s="4" t="n">
        <f aca="false">R546*(P546/100)</f>
        <v>0</v>
      </c>
      <c r="T546" s="4" t="n">
        <f aca="false">R546-S546</f>
        <v>1719.9</v>
      </c>
    </row>
    <row r="547" customFormat="false" ht="15" hidden="false" customHeight="false" outlineLevel="0" collapsed="false">
      <c r="A547" s="2" t="n">
        <v>800546</v>
      </c>
      <c r="B547" s="2" t="s">
        <v>252</v>
      </c>
      <c r="C547" s="2" t="s">
        <v>41</v>
      </c>
      <c r="D547" s="2" t="s">
        <v>49</v>
      </c>
      <c r="E547" s="2" t="s">
        <v>50</v>
      </c>
      <c r="F547" s="2" t="s">
        <v>51</v>
      </c>
      <c r="G547" s="2" t="s">
        <v>137</v>
      </c>
      <c r="H547" s="2" t="s">
        <v>26</v>
      </c>
      <c r="I547" s="2" t="s">
        <v>69</v>
      </c>
      <c r="J547" s="2" t="s">
        <v>81</v>
      </c>
      <c r="K547" s="2" t="s">
        <v>71</v>
      </c>
      <c r="L547" s="2" t="s">
        <v>132</v>
      </c>
      <c r="M547" s="2" t="n">
        <v>331</v>
      </c>
      <c r="N547" s="3" t="n">
        <v>40</v>
      </c>
      <c r="O547" s="4" t="n">
        <v>37.59</v>
      </c>
      <c r="P547" s="5" t="n">
        <v>2</v>
      </c>
      <c r="Q547" s="2" t="n">
        <v>0</v>
      </c>
      <c r="R547" s="4" t="n">
        <f aca="false">M547*O547</f>
        <v>12442.29</v>
      </c>
      <c r="S547" s="4" t="n">
        <f aca="false">R547*(P547/100)</f>
        <v>248.8458</v>
      </c>
      <c r="T547" s="4" t="n">
        <f aca="false">R547-S547</f>
        <v>12193.4442</v>
      </c>
    </row>
    <row r="548" customFormat="false" ht="15" hidden="false" customHeight="false" outlineLevel="0" collapsed="false">
      <c r="A548" s="2" t="n">
        <v>800547</v>
      </c>
      <c r="B548" s="2" t="s">
        <v>212</v>
      </c>
      <c r="C548" s="2" t="s">
        <v>21</v>
      </c>
      <c r="D548" s="2" t="s">
        <v>22</v>
      </c>
      <c r="E548" s="2" t="s">
        <v>23</v>
      </c>
      <c r="F548" s="2" t="s">
        <v>78</v>
      </c>
      <c r="G548" s="2" t="s">
        <v>90</v>
      </c>
      <c r="H548" s="2" t="s">
        <v>26</v>
      </c>
      <c r="I548" s="2" t="s">
        <v>57</v>
      </c>
      <c r="J548" s="2" t="s">
        <v>104</v>
      </c>
      <c r="K548" s="2" t="s">
        <v>59</v>
      </c>
      <c r="L548" s="2" t="s">
        <v>60</v>
      </c>
      <c r="M548" s="2" t="n">
        <v>182</v>
      </c>
      <c r="N548" s="3" t="n">
        <v>25</v>
      </c>
      <c r="O548" s="4" t="n">
        <v>23.36</v>
      </c>
      <c r="P548" s="5" t="n">
        <v>0</v>
      </c>
      <c r="Q548" s="2" t="n">
        <v>1</v>
      </c>
      <c r="R548" s="4" t="n">
        <f aca="false">M548*O548</f>
        <v>4251.52</v>
      </c>
      <c r="S548" s="4" t="n">
        <f aca="false">R548*(P548/100)</f>
        <v>0</v>
      </c>
      <c r="T548" s="4" t="n">
        <f aca="false">R548-S548</f>
        <v>4251.52</v>
      </c>
    </row>
    <row r="549" customFormat="false" ht="15" hidden="false" customHeight="false" outlineLevel="0" collapsed="false">
      <c r="A549" s="2" t="n">
        <v>800548</v>
      </c>
      <c r="B549" s="2" t="s">
        <v>421</v>
      </c>
      <c r="C549" s="2" t="s">
        <v>32</v>
      </c>
      <c r="D549" s="2" t="s">
        <v>151</v>
      </c>
      <c r="E549" s="2" t="s">
        <v>152</v>
      </c>
      <c r="F549" s="2" t="s">
        <v>51</v>
      </c>
      <c r="G549" s="2" t="s">
        <v>137</v>
      </c>
      <c r="H549" s="2" t="s">
        <v>26</v>
      </c>
      <c r="I549" s="2" t="s">
        <v>69</v>
      </c>
      <c r="J549" s="2" t="s">
        <v>81</v>
      </c>
      <c r="K549" s="2" t="s">
        <v>39</v>
      </c>
      <c r="L549" s="2" t="s">
        <v>82</v>
      </c>
      <c r="M549" s="2" t="n">
        <v>199</v>
      </c>
      <c r="N549" s="3" t="n">
        <v>20</v>
      </c>
      <c r="O549" s="4" t="n">
        <v>17.86</v>
      </c>
      <c r="P549" s="5" t="n">
        <v>12.5</v>
      </c>
      <c r="Q549" s="2" t="n">
        <v>3</v>
      </c>
      <c r="R549" s="4" t="n">
        <f aca="false">M549*O549</f>
        <v>3554.14</v>
      </c>
      <c r="S549" s="4" t="n">
        <f aca="false">R549*(P549/100)</f>
        <v>444.2675</v>
      </c>
      <c r="T549" s="4" t="n">
        <f aca="false">R549-S549</f>
        <v>3109.8725</v>
      </c>
    </row>
    <row r="550" customFormat="false" ht="15" hidden="false" customHeight="false" outlineLevel="0" collapsed="false">
      <c r="A550" s="2" t="n">
        <v>800549</v>
      </c>
      <c r="B550" s="2" t="s">
        <v>283</v>
      </c>
      <c r="C550" s="2" t="s">
        <v>32</v>
      </c>
      <c r="D550" s="2" t="s">
        <v>151</v>
      </c>
      <c r="E550" s="2" t="s">
        <v>152</v>
      </c>
      <c r="F550" s="2" t="s">
        <v>51</v>
      </c>
      <c r="G550" s="2" t="s">
        <v>68</v>
      </c>
      <c r="H550" s="2" t="s">
        <v>26</v>
      </c>
      <c r="I550" s="2" t="s">
        <v>27</v>
      </c>
      <c r="J550" s="2" t="s">
        <v>98</v>
      </c>
      <c r="K550" s="2" t="s">
        <v>46</v>
      </c>
      <c r="L550" s="2" t="s">
        <v>161</v>
      </c>
      <c r="M550" s="2" t="n">
        <v>91</v>
      </c>
      <c r="N550" s="3" t="n">
        <v>99</v>
      </c>
      <c r="O550" s="4" t="n">
        <v>95.73</v>
      </c>
      <c r="P550" s="5" t="n">
        <v>0</v>
      </c>
      <c r="Q550" s="2" t="n">
        <v>0</v>
      </c>
      <c r="R550" s="4" t="n">
        <f aca="false">M550*O550</f>
        <v>8711.43</v>
      </c>
      <c r="S550" s="4" t="n">
        <f aca="false">R550*(P550/100)</f>
        <v>0</v>
      </c>
      <c r="T550" s="4" t="n">
        <f aca="false">R550-S550</f>
        <v>8711.43</v>
      </c>
    </row>
    <row r="551" customFormat="false" ht="15" hidden="false" customHeight="false" outlineLevel="0" collapsed="false">
      <c r="A551" s="2" t="n">
        <v>800550</v>
      </c>
      <c r="B551" s="2" t="s">
        <v>322</v>
      </c>
      <c r="C551" s="2" t="s">
        <v>84</v>
      </c>
      <c r="D551" s="2" t="s">
        <v>164</v>
      </c>
      <c r="E551" s="2" t="s">
        <v>165</v>
      </c>
      <c r="F551" s="2" t="s">
        <v>78</v>
      </c>
      <c r="G551" s="2" t="s">
        <v>143</v>
      </c>
      <c r="H551" s="2" t="s">
        <v>26</v>
      </c>
      <c r="I551" s="2" t="s">
        <v>57</v>
      </c>
      <c r="J551" s="2" t="s">
        <v>104</v>
      </c>
      <c r="K551" s="2" t="s">
        <v>59</v>
      </c>
      <c r="L551" s="2" t="s">
        <v>132</v>
      </c>
      <c r="M551" s="2" t="n">
        <v>229</v>
      </c>
      <c r="N551" s="3" t="n">
        <v>25</v>
      </c>
      <c r="O551" s="4" t="n">
        <v>23.49</v>
      </c>
      <c r="P551" s="5" t="n">
        <v>5</v>
      </c>
      <c r="Q551" s="2" t="n">
        <v>1</v>
      </c>
      <c r="R551" s="4" t="n">
        <f aca="false">M551*O551</f>
        <v>5379.21</v>
      </c>
      <c r="S551" s="4" t="n">
        <f aca="false">R551*(P551/100)</f>
        <v>268.9605</v>
      </c>
      <c r="T551" s="4" t="n">
        <f aca="false">R551-S551</f>
        <v>5110.2495</v>
      </c>
    </row>
    <row r="552" customFormat="false" ht="15" hidden="false" customHeight="false" outlineLevel="0" collapsed="false">
      <c r="A552" s="2" t="n">
        <v>800551</v>
      </c>
      <c r="B552" s="2" t="s">
        <v>329</v>
      </c>
      <c r="C552" s="2" t="s">
        <v>41</v>
      </c>
      <c r="D552" s="2" t="s">
        <v>49</v>
      </c>
      <c r="E552" s="2" t="s">
        <v>50</v>
      </c>
      <c r="F552" s="2" t="s">
        <v>24</v>
      </c>
      <c r="G552" s="2" t="s">
        <v>106</v>
      </c>
      <c r="H552" s="2" t="s">
        <v>26</v>
      </c>
      <c r="I552" s="2" t="s">
        <v>57</v>
      </c>
      <c r="J552" s="2" t="s">
        <v>58</v>
      </c>
      <c r="K552" s="2" t="s">
        <v>59</v>
      </c>
      <c r="L552" s="2" t="s">
        <v>30</v>
      </c>
      <c r="M552" s="2" t="n">
        <v>271</v>
      </c>
      <c r="N552" s="3" t="n">
        <v>20</v>
      </c>
      <c r="O552" s="4" t="n">
        <v>17.12</v>
      </c>
      <c r="P552" s="5" t="n">
        <v>5</v>
      </c>
      <c r="Q552" s="2" t="n">
        <v>0</v>
      </c>
      <c r="R552" s="4" t="n">
        <f aca="false">M552*O552</f>
        <v>4639.52</v>
      </c>
      <c r="S552" s="4" t="n">
        <f aca="false">R552*(P552/100)</f>
        <v>231.976</v>
      </c>
      <c r="T552" s="4" t="n">
        <f aca="false">R552-S552</f>
        <v>4407.544</v>
      </c>
    </row>
    <row r="553" customFormat="false" ht="15" hidden="false" customHeight="false" outlineLevel="0" collapsed="false">
      <c r="A553" s="2" t="n">
        <v>800552</v>
      </c>
      <c r="B553" s="2" t="s">
        <v>178</v>
      </c>
      <c r="C553" s="2" t="s">
        <v>41</v>
      </c>
      <c r="D553" s="2" t="s">
        <v>73</v>
      </c>
      <c r="E553" s="2" t="s">
        <v>136</v>
      </c>
      <c r="F553" s="2" t="s">
        <v>78</v>
      </c>
      <c r="G553" s="2" t="s">
        <v>106</v>
      </c>
      <c r="H553" s="2" t="s">
        <v>26</v>
      </c>
      <c r="I553" s="2" t="s">
        <v>44</v>
      </c>
      <c r="J553" s="2" t="s">
        <v>45</v>
      </c>
      <c r="K553" s="2" t="s">
        <v>111</v>
      </c>
      <c r="L553" s="2" t="s">
        <v>60</v>
      </c>
      <c r="M553" s="2" t="n">
        <v>83</v>
      </c>
      <c r="N553" s="3" t="n">
        <v>10</v>
      </c>
      <c r="O553" s="4" t="n">
        <v>9.42</v>
      </c>
      <c r="P553" s="5" t="n">
        <v>5</v>
      </c>
      <c r="Q553" s="2" t="n">
        <v>1</v>
      </c>
      <c r="R553" s="4" t="n">
        <f aca="false">M553*O553</f>
        <v>781.86</v>
      </c>
      <c r="S553" s="4" t="n">
        <f aca="false">R553*(P553/100)</f>
        <v>39.093</v>
      </c>
      <c r="T553" s="4" t="n">
        <f aca="false">R553-S553</f>
        <v>742.767</v>
      </c>
    </row>
    <row r="554" customFormat="false" ht="15" hidden="false" customHeight="false" outlineLevel="0" collapsed="false">
      <c r="A554" s="2" t="n">
        <v>800553</v>
      </c>
      <c r="B554" s="2" t="s">
        <v>422</v>
      </c>
      <c r="C554" s="2" t="s">
        <v>41</v>
      </c>
      <c r="D554" s="2" t="s">
        <v>49</v>
      </c>
      <c r="E554" s="2" t="s">
        <v>50</v>
      </c>
      <c r="F554" s="2" t="s">
        <v>78</v>
      </c>
      <c r="G554" s="2" t="s">
        <v>52</v>
      </c>
      <c r="H554" s="2" t="s">
        <v>26</v>
      </c>
      <c r="I554" s="2" t="s">
        <v>44</v>
      </c>
      <c r="J554" s="2" t="s">
        <v>45</v>
      </c>
      <c r="K554" s="2" t="s">
        <v>111</v>
      </c>
      <c r="L554" s="2" t="s">
        <v>47</v>
      </c>
      <c r="M554" s="2" t="n">
        <v>326</v>
      </c>
      <c r="N554" s="3" t="n">
        <v>10</v>
      </c>
      <c r="O554" s="4" t="n">
        <v>9.54</v>
      </c>
      <c r="P554" s="5" t="n">
        <v>12.5</v>
      </c>
      <c r="Q554" s="2" t="n">
        <v>1</v>
      </c>
      <c r="R554" s="4" t="n">
        <f aca="false">M554*O554</f>
        <v>3110.04</v>
      </c>
      <c r="S554" s="4" t="n">
        <f aca="false">R554*(P554/100)</f>
        <v>388.755</v>
      </c>
      <c r="T554" s="4" t="n">
        <f aca="false">R554-S554</f>
        <v>2721.285</v>
      </c>
    </row>
    <row r="555" customFormat="false" ht="15" hidden="false" customHeight="false" outlineLevel="0" collapsed="false">
      <c r="A555" s="2" t="n">
        <v>800554</v>
      </c>
      <c r="B555" s="2" t="s">
        <v>363</v>
      </c>
      <c r="C555" s="2" t="s">
        <v>41</v>
      </c>
      <c r="D555" s="2" t="s">
        <v>49</v>
      </c>
      <c r="E555" s="2" t="s">
        <v>50</v>
      </c>
      <c r="F555" s="2" t="s">
        <v>87</v>
      </c>
      <c r="G555" s="2" t="s">
        <v>90</v>
      </c>
      <c r="H555" s="2" t="s">
        <v>26</v>
      </c>
      <c r="I555" s="2" t="s">
        <v>37</v>
      </c>
      <c r="J555" s="2" t="s">
        <v>38</v>
      </c>
      <c r="K555" s="2" t="s">
        <v>39</v>
      </c>
      <c r="L555" s="2" t="s">
        <v>107</v>
      </c>
      <c r="M555" s="2" t="n">
        <v>103</v>
      </c>
      <c r="N555" s="3" t="n">
        <v>30</v>
      </c>
      <c r="O555" s="4" t="n">
        <v>27.94</v>
      </c>
      <c r="P555" s="5" t="n">
        <v>0</v>
      </c>
      <c r="Q555" s="2" t="n">
        <v>1</v>
      </c>
      <c r="R555" s="4" t="n">
        <f aca="false">M555*O555</f>
        <v>2877.82</v>
      </c>
      <c r="S555" s="4" t="n">
        <f aca="false">R555*(P555/100)</f>
        <v>0</v>
      </c>
      <c r="T555" s="4" t="n">
        <f aca="false">R555-S555</f>
        <v>2877.82</v>
      </c>
    </row>
    <row r="556" customFormat="false" ht="15" hidden="false" customHeight="false" outlineLevel="0" collapsed="false">
      <c r="A556" s="2" t="n">
        <v>800555</v>
      </c>
      <c r="B556" s="2" t="s">
        <v>423</v>
      </c>
      <c r="C556" s="2" t="s">
        <v>32</v>
      </c>
      <c r="D556" s="2" t="s">
        <v>55</v>
      </c>
      <c r="E556" s="2" t="s">
        <v>56</v>
      </c>
      <c r="F556" s="2" t="s">
        <v>78</v>
      </c>
      <c r="G556" s="2" t="s">
        <v>68</v>
      </c>
      <c r="H556" s="2" t="s">
        <v>26</v>
      </c>
      <c r="I556" s="2" t="s">
        <v>44</v>
      </c>
      <c r="J556" s="2" t="s">
        <v>45</v>
      </c>
      <c r="K556" s="2" t="s">
        <v>111</v>
      </c>
      <c r="L556" s="2" t="s">
        <v>82</v>
      </c>
      <c r="M556" s="2" t="n">
        <v>44</v>
      </c>
      <c r="N556" s="3" t="n">
        <v>10</v>
      </c>
      <c r="O556" s="4" t="n">
        <v>8.91</v>
      </c>
      <c r="P556" s="5" t="n">
        <v>0</v>
      </c>
      <c r="Q556" s="2" t="n">
        <v>3</v>
      </c>
      <c r="R556" s="4" t="n">
        <f aca="false">M556*O556</f>
        <v>392.04</v>
      </c>
      <c r="S556" s="4" t="n">
        <f aca="false">R556*(P556/100)</f>
        <v>0</v>
      </c>
      <c r="T556" s="4" t="n">
        <f aca="false">R556-S556</f>
        <v>392.04</v>
      </c>
    </row>
    <row r="557" customFormat="false" ht="15" hidden="false" customHeight="false" outlineLevel="0" collapsed="false">
      <c r="A557" s="2" t="n">
        <v>800556</v>
      </c>
      <c r="B557" s="2" t="s">
        <v>413</v>
      </c>
      <c r="C557" s="2" t="s">
        <v>32</v>
      </c>
      <c r="D557" s="2" t="s">
        <v>66</v>
      </c>
      <c r="E557" s="2" t="s">
        <v>113</v>
      </c>
      <c r="F557" s="2" t="s">
        <v>35</v>
      </c>
      <c r="G557" s="2" t="s">
        <v>137</v>
      </c>
      <c r="H557" s="2" t="s">
        <v>26</v>
      </c>
      <c r="I557" s="2" t="s">
        <v>44</v>
      </c>
      <c r="J557" s="2" t="s">
        <v>126</v>
      </c>
      <c r="K557" s="2" t="s">
        <v>71</v>
      </c>
      <c r="L557" s="2" t="s">
        <v>107</v>
      </c>
      <c r="M557" s="2" t="n">
        <v>158</v>
      </c>
      <c r="N557" s="3" t="n">
        <v>20</v>
      </c>
      <c r="O557" s="4" t="n">
        <v>18.92</v>
      </c>
      <c r="P557" s="5" t="n">
        <v>7.5</v>
      </c>
      <c r="Q557" s="2" t="n">
        <v>0</v>
      </c>
      <c r="R557" s="4" t="n">
        <f aca="false">M557*O557</f>
        <v>2989.36</v>
      </c>
      <c r="S557" s="4" t="n">
        <f aca="false">R557*(P557/100)</f>
        <v>224.202</v>
      </c>
      <c r="T557" s="4" t="n">
        <f aca="false">R557-S557</f>
        <v>2765.158</v>
      </c>
    </row>
    <row r="558" customFormat="false" ht="15" hidden="false" customHeight="false" outlineLevel="0" collapsed="false">
      <c r="A558" s="2" t="n">
        <v>800557</v>
      </c>
      <c r="B558" s="2" t="s">
        <v>424</v>
      </c>
      <c r="C558" s="2" t="s">
        <v>84</v>
      </c>
      <c r="D558" s="2" t="s">
        <v>85</v>
      </c>
      <c r="E558" s="2" t="s">
        <v>86</v>
      </c>
      <c r="F558" s="2" t="s">
        <v>24</v>
      </c>
      <c r="G558" s="2" t="s">
        <v>90</v>
      </c>
      <c r="H558" s="2" t="s">
        <v>26</v>
      </c>
      <c r="I558" s="2" t="s">
        <v>44</v>
      </c>
      <c r="J558" s="2" t="s">
        <v>45</v>
      </c>
      <c r="K558" s="2" t="s">
        <v>111</v>
      </c>
      <c r="L558" s="2" t="s">
        <v>60</v>
      </c>
      <c r="M558" s="2" t="n">
        <v>230</v>
      </c>
      <c r="N558" s="3" t="n">
        <v>10</v>
      </c>
      <c r="O558" s="4" t="n">
        <v>8.98</v>
      </c>
      <c r="P558" s="5" t="n">
        <v>0</v>
      </c>
      <c r="Q558" s="2" t="n">
        <v>0</v>
      </c>
      <c r="R558" s="4" t="n">
        <f aca="false">M558*O558</f>
        <v>2065.4</v>
      </c>
      <c r="S558" s="4" t="n">
        <f aca="false">R558*(P558/100)</f>
        <v>0</v>
      </c>
      <c r="T558" s="4" t="n">
        <f aca="false">R558-S558</f>
        <v>2065.4</v>
      </c>
    </row>
    <row r="559" customFormat="false" ht="15" hidden="false" customHeight="false" outlineLevel="0" collapsed="false">
      <c r="A559" s="2" t="n">
        <v>800558</v>
      </c>
      <c r="B559" s="2" t="s">
        <v>315</v>
      </c>
      <c r="C559" s="2" t="s">
        <v>32</v>
      </c>
      <c r="D559" s="2" t="s">
        <v>76</v>
      </c>
      <c r="E559" s="2" t="s">
        <v>96</v>
      </c>
      <c r="F559" s="2" t="s">
        <v>24</v>
      </c>
      <c r="G559" s="2" t="s">
        <v>90</v>
      </c>
      <c r="H559" s="2" t="s">
        <v>26</v>
      </c>
      <c r="I559" s="2" t="s">
        <v>37</v>
      </c>
      <c r="J559" s="2" t="s">
        <v>38</v>
      </c>
      <c r="K559" s="2" t="s">
        <v>39</v>
      </c>
      <c r="L559" s="2" t="s">
        <v>161</v>
      </c>
      <c r="M559" s="2" t="n">
        <v>255</v>
      </c>
      <c r="N559" s="3" t="n">
        <v>30</v>
      </c>
      <c r="O559" s="4" t="n">
        <v>29.35</v>
      </c>
      <c r="P559" s="5" t="n">
        <v>0</v>
      </c>
      <c r="Q559" s="2" t="n">
        <v>0</v>
      </c>
      <c r="R559" s="4" t="n">
        <f aca="false">M559*O559</f>
        <v>7484.25</v>
      </c>
      <c r="S559" s="4" t="n">
        <f aca="false">R559*(P559/100)</f>
        <v>0</v>
      </c>
      <c r="T559" s="4" t="n">
        <f aca="false">R559-S559</f>
        <v>7484.25</v>
      </c>
    </row>
    <row r="560" customFormat="false" ht="15" hidden="false" customHeight="false" outlineLevel="0" collapsed="false">
      <c r="A560" s="2" t="n">
        <v>800559</v>
      </c>
      <c r="B560" s="2" t="s">
        <v>425</v>
      </c>
      <c r="C560" s="2" t="s">
        <v>41</v>
      </c>
      <c r="D560" s="2" t="s">
        <v>42</v>
      </c>
      <c r="E560" s="2" t="s">
        <v>43</v>
      </c>
      <c r="F560" s="2" t="s">
        <v>87</v>
      </c>
      <c r="G560" s="2" t="s">
        <v>106</v>
      </c>
      <c r="H560" s="2" t="s">
        <v>26</v>
      </c>
      <c r="I560" s="2" t="s">
        <v>57</v>
      </c>
      <c r="J560" s="2" t="s">
        <v>58</v>
      </c>
      <c r="K560" s="2" t="s">
        <v>59</v>
      </c>
      <c r="L560" s="2" t="s">
        <v>64</v>
      </c>
      <c r="M560" s="2" t="n">
        <v>383</v>
      </c>
      <c r="N560" s="3" t="n">
        <v>20</v>
      </c>
      <c r="O560" s="4" t="n">
        <v>17.85</v>
      </c>
      <c r="P560" s="5" t="n">
        <v>0</v>
      </c>
      <c r="Q560" s="2" t="n">
        <v>0</v>
      </c>
      <c r="R560" s="4" t="n">
        <f aca="false">M560*O560</f>
        <v>6836.55</v>
      </c>
      <c r="S560" s="4" t="n">
        <f aca="false">R560*(P560/100)</f>
        <v>0</v>
      </c>
      <c r="T560" s="4" t="n">
        <f aca="false">R560-S560</f>
        <v>6836.55</v>
      </c>
    </row>
    <row r="561" customFormat="false" ht="15" hidden="false" customHeight="false" outlineLevel="0" collapsed="false">
      <c r="A561" s="2" t="n">
        <v>800560</v>
      </c>
      <c r="B561" s="2" t="s">
        <v>382</v>
      </c>
      <c r="C561" s="2" t="s">
        <v>32</v>
      </c>
      <c r="D561" s="2" t="s">
        <v>33</v>
      </c>
      <c r="E561" s="2" t="s">
        <v>187</v>
      </c>
      <c r="F561" s="2" t="s">
        <v>24</v>
      </c>
      <c r="G561" s="2" t="s">
        <v>25</v>
      </c>
      <c r="H561" s="2" t="s">
        <v>26</v>
      </c>
      <c r="I561" s="2" t="s">
        <v>27</v>
      </c>
      <c r="J561" s="2" t="s">
        <v>28</v>
      </c>
      <c r="K561" s="2" t="s">
        <v>29</v>
      </c>
      <c r="L561" s="2" t="s">
        <v>161</v>
      </c>
      <c r="M561" s="2" t="n">
        <v>373</v>
      </c>
      <c r="N561" s="3" t="n">
        <v>30</v>
      </c>
      <c r="O561" s="4" t="n">
        <v>28.7</v>
      </c>
      <c r="P561" s="5" t="n">
        <v>0</v>
      </c>
      <c r="Q561" s="2" t="n">
        <v>0</v>
      </c>
      <c r="R561" s="4" t="n">
        <f aca="false">M561*O561</f>
        <v>10705.1</v>
      </c>
      <c r="S561" s="4" t="n">
        <f aca="false">R561*(P561/100)</f>
        <v>0</v>
      </c>
      <c r="T561" s="4" t="n">
        <f aca="false">R561-S561</f>
        <v>10705.1</v>
      </c>
    </row>
    <row r="562" customFormat="false" ht="15" hidden="false" customHeight="false" outlineLevel="0" collapsed="false">
      <c r="A562" s="2" t="n">
        <v>800561</v>
      </c>
      <c r="B562" s="2" t="s">
        <v>419</v>
      </c>
      <c r="C562" s="2" t="s">
        <v>41</v>
      </c>
      <c r="D562" s="2" t="s">
        <v>42</v>
      </c>
      <c r="E562" s="2" t="s">
        <v>131</v>
      </c>
      <c r="F562" s="2" t="s">
        <v>24</v>
      </c>
      <c r="G562" s="2" t="s">
        <v>52</v>
      </c>
      <c r="H562" s="2" t="s">
        <v>26</v>
      </c>
      <c r="I562" s="2" t="s">
        <v>69</v>
      </c>
      <c r="J562" s="2" t="s">
        <v>134</v>
      </c>
      <c r="K562" s="2" t="s">
        <v>39</v>
      </c>
      <c r="L562" s="2" t="s">
        <v>60</v>
      </c>
      <c r="M562" s="2" t="n">
        <v>80</v>
      </c>
      <c r="N562" s="3" t="n">
        <v>20</v>
      </c>
      <c r="O562" s="4" t="n">
        <v>19.54</v>
      </c>
      <c r="P562" s="5" t="n">
        <v>0</v>
      </c>
      <c r="Q562" s="2" t="n">
        <v>0</v>
      </c>
      <c r="R562" s="4" t="n">
        <f aca="false">M562*O562</f>
        <v>1563.2</v>
      </c>
      <c r="S562" s="4" t="n">
        <f aca="false">R562*(P562/100)</f>
        <v>0</v>
      </c>
      <c r="T562" s="4" t="n">
        <f aca="false">R562-S562</f>
        <v>1563.2</v>
      </c>
    </row>
    <row r="563" customFormat="false" ht="15" hidden="false" customHeight="false" outlineLevel="0" collapsed="false">
      <c r="A563" s="2" t="n">
        <v>800562</v>
      </c>
      <c r="B563" s="2" t="s">
        <v>426</v>
      </c>
      <c r="C563" s="2" t="s">
        <v>21</v>
      </c>
      <c r="D563" s="2" t="s">
        <v>22</v>
      </c>
      <c r="E563" s="2" t="s">
        <v>109</v>
      </c>
      <c r="F563" s="2" t="s">
        <v>35</v>
      </c>
      <c r="G563" s="2" t="s">
        <v>25</v>
      </c>
      <c r="H563" s="2" t="s">
        <v>26</v>
      </c>
      <c r="I563" s="2" t="s">
        <v>37</v>
      </c>
      <c r="J563" s="2" t="s">
        <v>38</v>
      </c>
      <c r="K563" s="2" t="s">
        <v>39</v>
      </c>
      <c r="L563" s="2" t="s">
        <v>64</v>
      </c>
      <c r="M563" s="2" t="n">
        <v>363</v>
      </c>
      <c r="N563" s="3" t="n">
        <v>30</v>
      </c>
      <c r="O563" s="4" t="n">
        <v>26.98</v>
      </c>
      <c r="P563" s="5" t="n">
        <v>0</v>
      </c>
      <c r="Q563" s="2" t="n">
        <v>0</v>
      </c>
      <c r="R563" s="4" t="n">
        <f aca="false">M563*O563</f>
        <v>9793.74</v>
      </c>
      <c r="S563" s="4" t="n">
        <f aca="false">R563*(P563/100)</f>
        <v>0</v>
      </c>
      <c r="T563" s="4" t="n">
        <f aca="false">R563-S563</f>
        <v>9793.74</v>
      </c>
    </row>
    <row r="564" customFormat="false" ht="15" hidden="false" customHeight="false" outlineLevel="0" collapsed="false">
      <c r="A564" s="2" t="n">
        <v>800563</v>
      </c>
      <c r="B564" s="2" t="s">
        <v>424</v>
      </c>
      <c r="C564" s="2" t="s">
        <v>84</v>
      </c>
      <c r="D564" s="2" t="s">
        <v>119</v>
      </c>
      <c r="E564" s="2" t="s">
        <v>120</v>
      </c>
      <c r="F564" s="2" t="s">
        <v>35</v>
      </c>
      <c r="G564" s="2" t="s">
        <v>125</v>
      </c>
      <c r="H564" s="2" t="s">
        <v>26</v>
      </c>
      <c r="I564" s="2" t="s">
        <v>37</v>
      </c>
      <c r="J564" s="2" t="s">
        <v>38</v>
      </c>
      <c r="K564" s="2" t="s">
        <v>39</v>
      </c>
      <c r="L564" s="2" t="s">
        <v>30</v>
      </c>
      <c r="M564" s="2" t="n">
        <v>311</v>
      </c>
      <c r="N564" s="3" t="n">
        <v>30</v>
      </c>
      <c r="O564" s="4" t="n">
        <v>25.79</v>
      </c>
      <c r="P564" s="5" t="n">
        <v>0</v>
      </c>
      <c r="Q564" s="2" t="n">
        <v>3</v>
      </c>
      <c r="R564" s="4" t="n">
        <f aca="false">M564*O564</f>
        <v>8020.69</v>
      </c>
      <c r="S564" s="4" t="n">
        <f aca="false">R564*(P564/100)</f>
        <v>0</v>
      </c>
      <c r="T564" s="4" t="n">
        <f aca="false">R564-S564</f>
        <v>8020.69</v>
      </c>
    </row>
    <row r="565" customFormat="false" ht="15" hidden="false" customHeight="false" outlineLevel="0" collapsed="false">
      <c r="A565" s="2" t="n">
        <v>800564</v>
      </c>
      <c r="B565" s="2" t="s">
        <v>389</v>
      </c>
      <c r="C565" s="2" t="s">
        <v>32</v>
      </c>
      <c r="D565" s="2" t="s">
        <v>55</v>
      </c>
      <c r="E565" s="2" t="s">
        <v>56</v>
      </c>
      <c r="F565" s="2" t="s">
        <v>35</v>
      </c>
      <c r="G565" s="2" t="s">
        <v>36</v>
      </c>
      <c r="H565" s="2" t="s">
        <v>26</v>
      </c>
      <c r="I565" s="2" t="s">
        <v>69</v>
      </c>
      <c r="J565" s="2" t="s">
        <v>70</v>
      </c>
      <c r="K565" s="2" t="s">
        <v>71</v>
      </c>
      <c r="L565" s="2" t="s">
        <v>30</v>
      </c>
      <c r="M565" s="2" t="n">
        <v>455</v>
      </c>
      <c r="N565" s="3" t="n">
        <v>40</v>
      </c>
      <c r="O565" s="4" t="n">
        <v>37.96</v>
      </c>
      <c r="P565" s="5" t="n">
        <v>7.5</v>
      </c>
      <c r="Q565" s="2" t="n">
        <v>0</v>
      </c>
      <c r="R565" s="4" t="n">
        <f aca="false">M565*O565</f>
        <v>17271.8</v>
      </c>
      <c r="S565" s="4" t="n">
        <f aca="false">R565*(P565/100)</f>
        <v>1295.385</v>
      </c>
      <c r="T565" s="4" t="n">
        <f aca="false">R565-S565</f>
        <v>15976.415</v>
      </c>
    </row>
    <row r="566" customFormat="false" ht="15" hidden="false" customHeight="false" outlineLevel="0" collapsed="false">
      <c r="A566" s="2" t="n">
        <v>800565</v>
      </c>
      <c r="B566" s="2" t="s">
        <v>427</v>
      </c>
      <c r="C566" s="2" t="s">
        <v>21</v>
      </c>
      <c r="D566" s="2" t="s">
        <v>116</v>
      </c>
      <c r="E566" s="2" t="s">
        <v>170</v>
      </c>
      <c r="F566" s="2" t="s">
        <v>51</v>
      </c>
      <c r="G566" s="2" t="s">
        <v>103</v>
      </c>
      <c r="H566" s="2" t="s">
        <v>26</v>
      </c>
      <c r="I566" s="2" t="s">
        <v>27</v>
      </c>
      <c r="J566" s="2" t="s">
        <v>28</v>
      </c>
      <c r="K566" s="2" t="s">
        <v>63</v>
      </c>
      <c r="L566" s="2" t="s">
        <v>161</v>
      </c>
      <c r="M566" s="2" t="n">
        <v>77</v>
      </c>
      <c r="N566" s="3" t="n">
        <v>50</v>
      </c>
      <c r="O566" s="4" t="n">
        <v>47.83</v>
      </c>
      <c r="P566" s="5" t="n">
        <v>7.5</v>
      </c>
      <c r="Q566" s="2" t="n">
        <v>0</v>
      </c>
      <c r="R566" s="4" t="n">
        <f aca="false">M566*O566</f>
        <v>3682.91</v>
      </c>
      <c r="S566" s="4" t="n">
        <f aca="false">R566*(P566/100)</f>
        <v>276.21825</v>
      </c>
      <c r="T566" s="4" t="n">
        <f aca="false">R566-S566</f>
        <v>3406.69175</v>
      </c>
    </row>
    <row r="567" customFormat="false" ht="15" hidden="false" customHeight="false" outlineLevel="0" collapsed="false">
      <c r="A567" s="2" t="n">
        <v>800566</v>
      </c>
      <c r="B567" s="2" t="s">
        <v>150</v>
      </c>
      <c r="C567" s="2" t="s">
        <v>21</v>
      </c>
      <c r="D567" s="2" t="s">
        <v>171</v>
      </c>
      <c r="E567" s="2" t="s">
        <v>172</v>
      </c>
      <c r="F567" s="2" t="s">
        <v>51</v>
      </c>
      <c r="G567" s="2" t="s">
        <v>137</v>
      </c>
      <c r="H567" s="2" t="s">
        <v>26</v>
      </c>
      <c r="I567" s="2" t="s">
        <v>44</v>
      </c>
      <c r="J567" s="2" t="s">
        <v>126</v>
      </c>
      <c r="K567" s="2" t="s">
        <v>71</v>
      </c>
      <c r="L567" s="2" t="s">
        <v>132</v>
      </c>
      <c r="M567" s="2" t="n">
        <v>62</v>
      </c>
      <c r="N567" s="3" t="n">
        <v>20</v>
      </c>
      <c r="O567" s="4" t="n">
        <v>17.92</v>
      </c>
      <c r="P567" s="5" t="n">
        <v>0</v>
      </c>
      <c r="Q567" s="2" t="n">
        <v>1</v>
      </c>
      <c r="R567" s="4" t="n">
        <f aca="false">M567*O567</f>
        <v>1111.04</v>
      </c>
      <c r="S567" s="4" t="n">
        <f aca="false">R567*(P567/100)</f>
        <v>0</v>
      </c>
      <c r="T567" s="4" t="n">
        <f aca="false">R567-S567</f>
        <v>1111.04</v>
      </c>
    </row>
    <row r="568" customFormat="false" ht="15" hidden="false" customHeight="false" outlineLevel="0" collapsed="false">
      <c r="A568" s="2" t="n">
        <v>800567</v>
      </c>
      <c r="B568" s="2" t="s">
        <v>227</v>
      </c>
      <c r="C568" s="2" t="s">
        <v>41</v>
      </c>
      <c r="D568" s="2" t="s">
        <v>49</v>
      </c>
      <c r="E568" s="2" t="s">
        <v>80</v>
      </c>
      <c r="F568" s="2" t="s">
        <v>51</v>
      </c>
      <c r="G568" s="2" t="s">
        <v>25</v>
      </c>
      <c r="H568" s="2" t="s">
        <v>26</v>
      </c>
      <c r="I568" s="2" t="s">
        <v>37</v>
      </c>
      <c r="J568" s="2" t="s">
        <v>38</v>
      </c>
      <c r="K568" s="2" t="s">
        <v>39</v>
      </c>
      <c r="L568" s="2" t="s">
        <v>107</v>
      </c>
      <c r="M568" s="2" t="n">
        <v>457</v>
      </c>
      <c r="N568" s="3" t="n">
        <v>30</v>
      </c>
      <c r="O568" s="4" t="n">
        <v>27.3</v>
      </c>
      <c r="P568" s="5" t="n">
        <v>0</v>
      </c>
      <c r="Q568" s="2" t="n">
        <v>2</v>
      </c>
      <c r="R568" s="4" t="n">
        <f aca="false">M568*O568</f>
        <v>12476.1</v>
      </c>
      <c r="S568" s="4" t="n">
        <f aca="false">R568*(P568/100)</f>
        <v>0</v>
      </c>
      <c r="T568" s="4" t="n">
        <f aca="false">R568-S568</f>
        <v>12476.1</v>
      </c>
    </row>
    <row r="569" customFormat="false" ht="15" hidden="false" customHeight="false" outlineLevel="0" collapsed="false">
      <c r="A569" s="2" t="n">
        <v>800568</v>
      </c>
      <c r="B569" s="2" t="s">
        <v>428</v>
      </c>
      <c r="C569" s="2" t="s">
        <v>84</v>
      </c>
      <c r="D569" s="2" t="s">
        <v>85</v>
      </c>
      <c r="E569" s="2" t="s">
        <v>86</v>
      </c>
      <c r="F569" s="2" t="s">
        <v>51</v>
      </c>
      <c r="G569" s="2" t="s">
        <v>62</v>
      </c>
      <c r="H569" s="2" t="s">
        <v>26</v>
      </c>
      <c r="I569" s="2" t="s">
        <v>69</v>
      </c>
      <c r="J569" s="2" t="s">
        <v>202</v>
      </c>
      <c r="K569" s="2" t="s">
        <v>39</v>
      </c>
      <c r="L569" s="2" t="s">
        <v>60</v>
      </c>
      <c r="M569" s="2" t="n">
        <v>287</v>
      </c>
      <c r="N569" s="3" t="n">
        <v>20</v>
      </c>
      <c r="O569" s="4" t="n">
        <v>18.84</v>
      </c>
      <c r="P569" s="5" t="n">
        <v>0</v>
      </c>
      <c r="Q569" s="2" t="n">
        <v>0</v>
      </c>
      <c r="R569" s="4" t="n">
        <f aca="false">M569*O569</f>
        <v>5407.08</v>
      </c>
      <c r="S569" s="4" t="n">
        <f aca="false">R569*(P569/100)</f>
        <v>0</v>
      </c>
      <c r="T569" s="4" t="n">
        <f aca="false">R569-S569</f>
        <v>5407.08</v>
      </c>
    </row>
    <row r="570" customFormat="false" ht="15" hidden="false" customHeight="false" outlineLevel="0" collapsed="false">
      <c r="A570" s="2" t="n">
        <v>800569</v>
      </c>
      <c r="B570" s="2" t="s">
        <v>196</v>
      </c>
      <c r="C570" s="2" t="s">
        <v>41</v>
      </c>
      <c r="D570" s="2" t="s">
        <v>42</v>
      </c>
      <c r="E570" s="2" t="s">
        <v>179</v>
      </c>
      <c r="F570" s="2" t="s">
        <v>35</v>
      </c>
      <c r="G570" s="2" t="s">
        <v>52</v>
      </c>
      <c r="H570" s="2" t="s">
        <v>26</v>
      </c>
      <c r="I570" s="2" t="s">
        <v>27</v>
      </c>
      <c r="J570" s="2" t="s">
        <v>28</v>
      </c>
      <c r="K570" s="2" t="s">
        <v>29</v>
      </c>
      <c r="L570" s="2" t="s">
        <v>82</v>
      </c>
      <c r="M570" s="2" t="n">
        <v>121</v>
      </c>
      <c r="N570" s="3" t="n">
        <v>30</v>
      </c>
      <c r="O570" s="4" t="n">
        <v>26.92</v>
      </c>
      <c r="P570" s="5" t="n">
        <v>10</v>
      </c>
      <c r="Q570" s="2" t="n">
        <v>0</v>
      </c>
      <c r="R570" s="4" t="n">
        <f aca="false">M570*O570</f>
        <v>3257.32</v>
      </c>
      <c r="S570" s="4" t="n">
        <f aca="false">R570*(P570/100)</f>
        <v>325.732</v>
      </c>
      <c r="T570" s="4" t="n">
        <f aca="false">R570-S570</f>
        <v>2931.588</v>
      </c>
    </row>
    <row r="571" customFormat="false" ht="15" hidden="false" customHeight="false" outlineLevel="0" collapsed="false">
      <c r="A571" s="2" t="n">
        <v>800570</v>
      </c>
      <c r="B571" s="2" t="s">
        <v>222</v>
      </c>
      <c r="C571" s="2" t="s">
        <v>41</v>
      </c>
      <c r="D571" s="2" t="s">
        <v>49</v>
      </c>
      <c r="E571" s="2" t="s">
        <v>80</v>
      </c>
      <c r="F571" s="2" t="s">
        <v>87</v>
      </c>
      <c r="G571" s="2" t="s">
        <v>125</v>
      </c>
      <c r="H571" s="2" t="s">
        <v>26</v>
      </c>
      <c r="I571" s="2" t="s">
        <v>37</v>
      </c>
      <c r="J571" s="2" t="s">
        <v>38</v>
      </c>
      <c r="K571" s="2" t="s">
        <v>39</v>
      </c>
      <c r="L571" s="2" t="s">
        <v>161</v>
      </c>
      <c r="M571" s="2" t="n">
        <v>202</v>
      </c>
      <c r="N571" s="3" t="n">
        <v>30</v>
      </c>
      <c r="O571" s="4" t="n">
        <v>27.5</v>
      </c>
      <c r="P571" s="5" t="n">
        <v>10</v>
      </c>
      <c r="Q571" s="2" t="n">
        <v>2</v>
      </c>
      <c r="R571" s="4" t="n">
        <f aca="false">M571*O571</f>
        <v>5555</v>
      </c>
      <c r="S571" s="4" t="n">
        <f aca="false">R571*(P571/100)</f>
        <v>555.5</v>
      </c>
      <c r="T571" s="4" t="n">
        <f aca="false">R571-S571</f>
        <v>4999.5</v>
      </c>
    </row>
    <row r="572" customFormat="false" ht="15" hidden="false" customHeight="false" outlineLevel="0" collapsed="false">
      <c r="A572" s="2" t="n">
        <v>800571</v>
      </c>
      <c r="B572" s="2" t="s">
        <v>236</v>
      </c>
      <c r="C572" s="2" t="s">
        <v>84</v>
      </c>
      <c r="D572" s="2" t="s">
        <v>85</v>
      </c>
      <c r="E572" s="2" t="s">
        <v>124</v>
      </c>
      <c r="F572" s="2" t="s">
        <v>78</v>
      </c>
      <c r="G572" s="2" t="s">
        <v>52</v>
      </c>
      <c r="H572" s="2" t="s">
        <v>26</v>
      </c>
      <c r="I572" s="2" t="s">
        <v>44</v>
      </c>
      <c r="J572" s="2" t="s">
        <v>45</v>
      </c>
      <c r="K572" s="2" t="s">
        <v>111</v>
      </c>
      <c r="L572" s="2" t="s">
        <v>60</v>
      </c>
      <c r="M572" s="2" t="n">
        <v>138</v>
      </c>
      <c r="N572" s="3" t="n">
        <v>10</v>
      </c>
      <c r="O572" s="4" t="n">
        <v>9.38</v>
      </c>
      <c r="P572" s="5" t="n">
        <v>0</v>
      </c>
      <c r="Q572" s="2" t="n">
        <v>0</v>
      </c>
      <c r="R572" s="4" t="n">
        <f aca="false">M572*O572</f>
        <v>1294.44</v>
      </c>
      <c r="S572" s="4" t="n">
        <f aca="false">R572*(P572/100)</f>
        <v>0</v>
      </c>
      <c r="T572" s="4" t="n">
        <f aca="false">R572-S572</f>
        <v>1294.44</v>
      </c>
    </row>
    <row r="573" customFormat="false" ht="15" hidden="false" customHeight="false" outlineLevel="0" collapsed="false">
      <c r="A573" s="2" t="n">
        <v>800572</v>
      </c>
      <c r="B573" s="2" t="s">
        <v>278</v>
      </c>
      <c r="C573" s="2" t="s">
        <v>21</v>
      </c>
      <c r="D573" s="2" t="s">
        <v>22</v>
      </c>
      <c r="E573" s="2" t="s">
        <v>23</v>
      </c>
      <c r="F573" s="2" t="s">
        <v>78</v>
      </c>
      <c r="G573" s="2" t="s">
        <v>106</v>
      </c>
      <c r="H573" s="2" t="s">
        <v>26</v>
      </c>
      <c r="I573" s="2" t="s">
        <v>57</v>
      </c>
      <c r="J573" s="2" t="s">
        <v>58</v>
      </c>
      <c r="K573" s="2" t="s">
        <v>59</v>
      </c>
      <c r="L573" s="2" t="s">
        <v>64</v>
      </c>
      <c r="M573" s="2" t="n">
        <v>175</v>
      </c>
      <c r="N573" s="3" t="n">
        <v>20</v>
      </c>
      <c r="O573" s="4" t="n">
        <v>18.74</v>
      </c>
      <c r="P573" s="5" t="n">
        <v>0</v>
      </c>
      <c r="Q573" s="2" t="n">
        <v>0</v>
      </c>
      <c r="R573" s="4" t="n">
        <f aca="false">M573*O573</f>
        <v>3279.5</v>
      </c>
      <c r="S573" s="4" t="n">
        <f aca="false">R573*(P573/100)</f>
        <v>0</v>
      </c>
      <c r="T573" s="4" t="n">
        <f aca="false">R573-S573</f>
        <v>3279.5</v>
      </c>
    </row>
    <row r="574" customFormat="false" ht="15" hidden="false" customHeight="false" outlineLevel="0" collapsed="false">
      <c r="A574" s="2" t="n">
        <v>800573</v>
      </c>
      <c r="B574" s="2" t="s">
        <v>144</v>
      </c>
      <c r="C574" s="2" t="s">
        <v>41</v>
      </c>
      <c r="D574" s="2" t="s">
        <v>42</v>
      </c>
      <c r="E574" s="2" t="s">
        <v>131</v>
      </c>
      <c r="F574" s="2" t="s">
        <v>87</v>
      </c>
      <c r="G574" s="2" t="s">
        <v>62</v>
      </c>
      <c r="H574" s="2" t="s">
        <v>26</v>
      </c>
      <c r="I574" s="2" t="s">
        <v>57</v>
      </c>
      <c r="J574" s="2" t="s">
        <v>58</v>
      </c>
      <c r="K574" s="2" t="s">
        <v>59</v>
      </c>
      <c r="L574" s="2" t="s">
        <v>30</v>
      </c>
      <c r="M574" s="2" t="n">
        <v>153</v>
      </c>
      <c r="N574" s="3" t="n">
        <v>20</v>
      </c>
      <c r="O574" s="4" t="n">
        <v>18.52</v>
      </c>
      <c r="P574" s="5" t="n">
        <v>0</v>
      </c>
      <c r="Q574" s="2" t="n">
        <v>0</v>
      </c>
      <c r="R574" s="4" t="n">
        <f aca="false">M574*O574</f>
        <v>2833.56</v>
      </c>
      <c r="S574" s="4" t="n">
        <f aca="false">R574*(P574/100)</f>
        <v>0</v>
      </c>
      <c r="T574" s="4" t="n">
        <f aca="false">R574-S574</f>
        <v>2833.56</v>
      </c>
    </row>
    <row r="575" customFormat="false" ht="15" hidden="false" customHeight="false" outlineLevel="0" collapsed="false">
      <c r="A575" s="2" t="n">
        <v>800574</v>
      </c>
      <c r="B575" s="2" t="s">
        <v>181</v>
      </c>
      <c r="C575" s="2" t="s">
        <v>21</v>
      </c>
      <c r="D575" s="2" t="s">
        <v>101</v>
      </c>
      <c r="E575" s="2" t="s">
        <v>241</v>
      </c>
      <c r="F575" s="2" t="s">
        <v>87</v>
      </c>
      <c r="G575" s="2" t="s">
        <v>103</v>
      </c>
      <c r="H575" s="2" t="s">
        <v>26</v>
      </c>
      <c r="I575" s="2" t="s">
        <v>57</v>
      </c>
      <c r="J575" s="2" t="s">
        <v>58</v>
      </c>
      <c r="K575" s="2" t="s">
        <v>59</v>
      </c>
      <c r="L575" s="2" t="s">
        <v>132</v>
      </c>
      <c r="M575" s="2" t="n">
        <v>36</v>
      </c>
      <c r="N575" s="3" t="n">
        <v>20</v>
      </c>
      <c r="O575" s="4" t="n">
        <v>17.5</v>
      </c>
      <c r="P575" s="5" t="n">
        <v>5</v>
      </c>
      <c r="Q575" s="2" t="n">
        <v>0</v>
      </c>
      <c r="R575" s="4" t="n">
        <f aca="false">M575*O575</f>
        <v>630</v>
      </c>
      <c r="S575" s="4" t="n">
        <f aca="false">R575*(P575/100)</f>
        <v>31.5</v>
      </c>
      <c r="T575" s="4" t="n">
        <f aca="false">R575-S575</f>
        <v>598.5</v>
      </c>
    </row>
    <row r="576" customFormat="false" ht="15" hidden="false" customHeight="false" outlineLevel="0" collapsed="false">
      <c r="A576" s="2" t="n">
        <v>800575</v>
      </c>
      <c r="B576" s="2" t="s">
        <v>388</v>
      </c>
      <c r="C576" s="2" t="s">
        <v>41</v>
      </c>
      <c r="D576" s="2" t="s">
        <v>73</v>
      </c>
      <c r="E576" s="2" t="s">
        <v>74</v>
      </c>
      <c r="F576" s="2" t="s">
        <v>51</v>
      </c>
      <c r="G576" s="2" t="s">
        <v>94</v>
      </c>
      <c r="H576" s="2" t="s">
        <v>26</v>
      </c>
      <c r="I576" s="2" t="s">
        <v>69</v>
      </c>
      <c r="J576" s="2" t="s">
        <v>114</v>
      </c>
      <c r="K576" s="2" t="s">
        <v>29</v>
      </c>
      <c r="L576" s="2" t="s">
        <v>30</v>
      </c>
      <c r="M576" s="2" t="n">
        <v>370</v>
      </c>
      <c r="N576" s="3" t="n">
        <v>20</v>
      </c>
      <c r="O576" s="4" t="n">
        <v>18.51</v>
      </c>
      <c r="P576" s="5" t="n">
        <v>12.5</v>
      </c>
      <c r="Q576" s="2" t="n">
        <v>2</v>
      </c>
      <c r="R576" s="4" t="n">
        <f aca="false">M576*O576</f>
        <v>6848.7</v>
      </c>
      <c r="S576" s="4" t="n">
        <f aca="false">R576*(P576/100)</f>
        <v>856.0875</v>
      </c>
      <c r="T576" s="4" t="n">
        <f aca="false">R576-S576</f>
        <v>5992.6125</v>
      </c>
    </row>
    <row r="577" customFormat="false" ht="15" hidden="false" customHeight="false" outlineLevel="0" collapsed="false">
      <c r="A577" s="2" t="n">
        <v>800576</v>
      </c>
      <c r="B577" s="2" t="s">
        <v>429</v>
      </c>
      <c r="C577" s="2" t="s">
        <v>32</v>
      </c>
      <c r="D577" s="2" t="s">
        <v>76</v>
      </c>
      <c r="E577" s="2" t="s">
        <v>96</v>
      </c>
      <c r="F577" s="2" t="s">
        <v>51</v>
      </c>
      <c r="G577" s="2" t="s">
        <v>68</v>
      </c>
      <c r="H577" s="2" t="s">
        <v>26</v>
      </c>
      <c r="I577" s="2" t="s">
        <v>57</v>
      </c>
      <c r="J577" s="2" t="s">
        <v>58</v>
      </c>
      <c r="K577" s="2" t="s">
        <v>59</v>
      </c>
      <c r="L577" s="2" t="s">
        <v>53</v>
      </c>
      <c r="M577" s="2" t="n">
        <v>366</v>
      </c>
      <c r="N577" s="3" t="n">
        <v>20</v>
      </c>
      <c r="O577" s="4" t="n">
        <v>17.99</v>
      </c>
      <c r="P577" s="5" t="n">
        <v>5</v>
      </c>
      <c r="Q577" s="2" t="n">
        <v>1</v>
      </c>
      <c r="R577" s="4" t="n">
        <f aca="false">M577*O577</f>
        <v>6584.34</v>
      </c>
      <c r="S577" s="4" t="n">
        <f aca="false">R577*(P577/100)</f>
        <v>329.217</v>
      </c>
      <c r="T577" s="4" t="n">
        <f aca="false">R577-S577</f>
        <v>6255.123</v>
      </c>
    </row>
    <row r="578" customFormat="false" ht="15" hidden="false" customHeight="false" outlineLevel="0" collapsed="false">
      <c r="A578" s="2" t="n">
        <v>800577</v>
      </c>
      <c r="B578" s="2" t="s">
        <v>336</v>
      </c>
      <c r="C578" s="2" t="s">
        <v>21</v>
      </c>
      <c r="D578" s="2" t="s">
        <v>171</v>
      </c>
      <c r="E578" s="2" t="s">
        <v>172</v>
      </c>
      <c r="F578" s="2" t="s">
        <v>24</v>
      </c>
      <c r="G578" s="2" t="s">
        <v>137</v>
      </c>
      <c r="H578" s="2" t="s">
        <v>26</v>
      </c>
      <c r="I578" s="2" t="s">
        <v>44</v>
      </c>
      <c r="J578" s="2" t="s">
        <v>126</v>
      </c>
      <c r="K578" s="2" t="s">
        <v>71</v>
      </c>
      <c r="L578" s="2" t="s">
        <v>53</v>
      </c>
      <c r="M578" s="2" t="n">
        <v>33</v>
      </c>
      <c r="N578" s="3" t="n">
        <v>20</v>
      </c>
      <c r="O578" s="4" t="n">
        <v>19.14</v>
      </c>
      <c r="P578" s="5" t="n">
        <v>7.5</v>
      </c>
      <c r="Q578" s="2" t="n">
        <v>1</v>
      </c>
      <c r="R578" s="4" t="n">
        <f aca="false">M578*O578</f>
        <v>631.62</v>
      </c>
      <c r="S578" s="4" t="n">
        <f aca="false">R578*(P578/100)</f>
        <v>47.3715</v>
      </c>
      <c r="T578" s="4" t="n">
        <f aca="false">R578-S578</f>
        <v>584.2485</v>
      </c>
    </row>
    <row r="579" customFormat="false" ht="15" hidden="false" customHeight="false" outlineLevel="0" collapsed="false">
      <c r="A579" s="2" t="n">
        <v>800578</v>
      </c>
      <c r="B579" s="2" t="s">
        <v>139</v>
      </c>
      <c r="C579" s="2" t="s">
        <v>41</v>
      </c>
      <c r="D579" s="2" t="s">
        <v>42</v>
      </c>
      <c r="E579" s="2" t="s">
        <v>43</v>
      </c>
      <c r="F579" s="2" t="s">
        <v>51</v>
      </c>
      <c r="G579" s="2" t="s">
        <v>137</v>
      </c>
      <c r="H579" s="2" t="s">
        <v>26</v>
      </c>
      <c r="I579" s="2" t="s">
        <v>69</v>
      </c>
      <c r="J579" s="2" t="s">
        <v>70</v>
      </c>
      <c r="K579" s="2" t="s">
        <v>71</v>
      </c>
      <c r="L579" s="2" t="s">
        <v>99</v>
      </c>
      <c r="M579" s="2" t="n">
        <v>140</v>
      </c>
      <c r="N579" s="3" t="n">
        <v>40</v>
      </c>
      <c r="O579" s="4" t="n">
        <v>37.63</v>
      </c>
      <c r="P579" s="5" t="n">
        <v>0</v>
      </c>
      <c r="Q579" s="2" t="n">
        <v>0</v>
      </c>
      <c r="R579" s="4" t="n">
        <f aca="false">M579*O579</f>
        <v>5268.2</v>
      </c>
      <c r="S579" s="4" t="n">
        <f aca="false">R579*(P579/100)</f>
        <v>0</v>
      </c>
      <c r="T579" s="4" t="n">
        <f aca="false">R579-S579</f>
        <v>5268.2</v>
      </c>
    </row>
    <row r="580" customFormat="false" ht="15" hidden="false" customHeight="false" outlineLevel="0" collapsed="false">
      <c r="A580" s="2" t="n">
        <v>800579</v>
      </c>
      <c r="B580" s="2" t="s">
        <v>376</v>
      </c>
      <c r="C580" s="2" t="s">
        <v>21</v>
      </c>
      <c r="D580" s="2" t="s">
        <v>147</v>
      </c>
      <c r="E580" s="2" t="s">
        <v>228</v>
      </c>
      <c r="F580" s="2" t="s">
        <v>78</v>
      </c>
      <c r="G580" s="2" t="s">
        <v>90</v>
      </c>
      <c r="H580" s="2" t="s">
        <v>26</v>
      </c>
      <c r="I580" s="2" t="s">
        <v>44</v>
      </c>
      <c r="J580" s="2" t="s">
        <v>45</v>
      </c>
      <c r="K580" s="2" t="s">
        <v>46</v>
      </c>
      <c r="L580" s="2" t="s">
        <v>60</v>
      </c>
      <c r="M580" s="2" t="n">
        <v>356</v>
      </c>
      <c r="N580" s="3" t="n">
        <v>20</v>
      </c>
      <c r="O580" s="4" t="n">
        <v>19.42</v>
      </c>
      <c r="P580" s="5" t="n">
        <v>10</v>
      </c>
      <c r="Q580" s="2" t="n">
        <v>0</v>
      </c>
      <c r="R580" s="4" t="n">
        <f aca="false">M580*O580</f>
        <v>6913.52</v>
      </c>
      <c r="S580" s="4" t="n">
        <f aca="false">R580*(P580/100)</f>
        <v>691.352</v>
      </c>
      <c r="T580" s="4" t="n">
        <f aca="false">R580-S580</f>
        <v>6222.168</v>
      </c>
    </row>
    <row r="581" customFormat="false" ht="15" hidden="false" customHeight="false" outlineLevel="0" collapsed="false">
      <c r="A581" s="2" t="n">
        <v>800580</v>
      </c>
      <c r="B581" s="2" t="s">
        <v>89</v>
      </c>
      <c r="C581" s="2" t="s">
        <v>41</v>
      </c>
      <c r="D581" s="2" t="s">
        <v>49</v>
      </c>
      <c r="E581" s="2" t="s">
        <v>50</v>
      </c>
      <c r="F581" s="2" t="s">
        <v>87</v>
      </c>
      <c r="G581" s="2" t="s">
        <v>103</v>
      </c>
      <c r="H581" s="2" t="s">
        <v>26</v>
      </c>
      <c r="I581" s="2" t="s">
        <v>37</v>
      </c>
      <c r="J581" s="2" t="s">
        <v>38</v>
      </c>
      <c r="K581" s="2" t="s">
        <v>39</v>
      </c>
      <c r="L581" s="2" t="s">
        <v>82</v>
      </c>
      <c r="M581" s="2" t="n">
        <v>313</v>
      </c>
      <c r="N581" s="3" t="n">
        <v>30</v>
      </c>
      <c r="O581" s="4" t="n">
        <v>25.91</v>
      </c>
      <c r="P581" s="5" t="n">
        <v>12.5</v>
      </c>
      <c r="Q581" s="2" t="n">
        <v>0</v>
      </c>
      <c r="R581" s="4" t="n">
        <f aca="false">M581*O581</f>
        <v>8109.83</v>
      </c>
      <c r="S581" s="4" t="n">
        <f aca="false">R581*(P581/100)</f>
        <v>1013.72875</v>
      </c>
      <c r="T581" s="4" t="n">
        <f aca="false">R581-S581</f>
        <v>7096.10125</v>
      </c>
    </row>
    <row r="582" customFormat="false" ht="15" hidden="false" customHeight="false" outlineLevel="0" collapsed="false">
      <c r="A582" s="2" t="n">
        <v>800581</v>
      </c>
      <c r="B582" s="2" t="s">
        <v>325</v>
      </c>
      <c r="C582" s="2" t="s">
        <v>32</v>
      </c>
      <c r="D582" s="2" t="s">
        <v>55</v>
      </c>
      <c r="E582" s="2" t="s">
        <v>93</v>
      </c>
      <c r="F582" s="2" t="s">
        <v>35</v>
      </c>
      <c r="G582" s="2" t="s">
        <v>62</v>
      </c>
      <c r="H582" s="2" t="s">
        <v>26</v>
      </c>
      <c r="I582" s="2" t="s">
        <v>44</v>
      </c>
      <c r="J582" s="2" t="s">
        <v>45</v>
      </c>
      <c r="K582" s="2" t="s">
        <v>46</v>
      </c>
      <c r="L582" s="2" t="s">
        <v>53</v>
      </c>
      <c r="M582" s="2" t="n">
        <v>173</v>
      </c>
      <c r="N582" s="3" t="n">
        <v>20</v>
      </c>
      <c r="O582" s="4" t="n">
        <v>18.02</v>
      </c>
      <c r="P582" s="5" t="n">
        <v>10</v>
      </c>
      <c r="Q582" s="2" t="n">
        <v>0</v>
      </c>
      <c r="R582" s="4" t="n">
        <f aca="false">M582*O582</f>
        <v>3117.46</v>
      </c>
      <c r="S582" s="4" t="n">
        <f aca="false">R582*(P582/100)</f>
        <v>311.746</v>
      </c>
      <c r="T582" s="4" t="n">
        <f aca="false">R582-S582</f>
        <v>2805.714</v>
      </c>
    </row>
    <row r="583" customFormat="false" ht="15" hidden="false" customHeight="false" outlineLevel="0" collapsed="false">
      <c r="A583" s="2" t="n">
        <v>800582</v>
      </c>
      <c r="B583" s="2" t="s">
        <v>319</v>
      </c>
      <c r="C583" s="2" t="s">
        <v>21</v>
      </c>
      <c r="D583" s="2" t="s">
        <v>171</v>
      </c>
      <c r="E583" s="2" t="s">
        <v>172</v>
      </c>
      <c r="F583" s="2" t="s">
        <v>87</v>
      </c>
      <c r="G583" s="2" t="s">
        <v>68</v>
      </c>
      <c r="H583" s="2" t="s">
        <v>26</v>
      </c>
      <c r="I583" s="2" t="s">
        <v>69</v>
      </c>
      <c r="J583" s="2" t="s">
        <v>81</v>
      </c>
      <c r="K583" s="2" t="s">
        <v>39</v>
      </c>
      <c r="L583" s="2" t="s">
        <v>53</v>
      </c>
      <c r="M583" s="2" t="n">
        <v>225</v>
      </c>
      <c r="N583" s="3" t="n">
        <v>20</v>
      </c>
      <c r="O583" s="4" t="n">
        <v>19.25</v>
      </c>
      <c r="P583" s="5" t="n">
        <v>0</v>
      </c>
      <c r="Q583" s="2" t="n">
        <v>0</v>
      </c>
      <c r="R583" s="4" t="n">
        <f aca="false">M583*O583</f>
        <v>4331.25</v>
      </c>
      <c r="S583" s="4" t="n">
        <f aca="false">R583*(P583/100)</f>
        <v>0</v>
      </c>
      <c r="T583" s="4" t="n">
        <f aca="false">R583-S583</f>
        <v>4331.25</v>
      </c>
    </row>
    <row r="584" customFormat="false" ht="15" hidden="false" customHeight="false" outlineLevel="0" collapsed="false">
      <c r="A584" s="2" t="n">
        <v>800583</v>
      </c>
      <c r="B584" s="2" t="s">
        <v>296</v>
      </c>
      <c r="C584" s="2" t="s">
        <v>84</v>
      </c>
      <c r="D584" s="2" t="s">
        <v>119</v>
      </c>
      <c r="E584" s="2" t="s">
        <v>120</v>
      </c>
      <c r="F584" s="2" t="s">
        <v>35</v>
      </c>
      <c r="G584" s="2" t="s">
        <v>90</v>
      </c>
      <c r="H584" s="2" t="s">
        <v>26</v>
      </c>
      <c r="I584" s="2" t="s">
        <v>57</v>
      </c>
      <c r="J584" s="2" t="s">
        <v>58</v>
      </c>
      <c r="K584" s="2" t="s">
        <v>59</v>
      </c>
      <c r="L584" s="2" t="s">
        <v>99</v>
      </c>
      <c r="M584" s="2" t="n">
        <v>197</v>
      </c>
      <c r="N584" s="3" t="n">
        <v>20</v>
      </c>
      <c r="O584" s="4" t="n">
        <v>19.23</v>
      </c>
      <c r="P584" s="5" t="n">
        <v>5</v>
      </c>
      <c r="Q584" s="2" t="n">
        <v>3</v>
      </c>
      <c r="R584" s="4" t="n">
        <f aca="false">M584*O584</f>
        <v>3788.31</v>
      </c>
      <c r="S584" s="4" t="n">
        <f aca="false">R584*(P584/100)</f>
        <v>189.4155</v>
      </c>
      <c r="T584" s="4" t="n">
        <f aca="false">R584-S584</f>
        <v>3598.8945</v>
      </c>
    </row>
    <row r="585" customFormat="false" ht="15" hidden="false" customHeight="false" outlineLevel="0" collapsed="false">
      <c r="A585" s="2" t="n">
        <v>800584</v>
      </c>
      <c r="B585" s="2" t="s">
        <v>338</v>
      </c>
      <c r="C585" s="2" t="s">
        <v>41</v>
      </c>
      <c r="D585" s="2" t="s">
        <v>49</v>
      </c>
      <c r="E585" s="2" t="s">
        <v>80</v>
      </c>
      <c r="F585" s="2" t="s">
        <v>24</v>
      </c>
      <c r="G585" s="2" t="s">
        <v>103</v>
      </c>
      <c r="H585" s="2" t="s">
        <v>26</v>
      </c>
      <c r="I585" s="2" t="s">
        <v>57</v>
      </c>
      <c r="J585" s="2" t="s">
        <v>58</v>
      </c>
      <c r="K585" s="2" t="s">
        <v>59</v>
      </c>
      <c r="L585" s="2" t="s">
        <v>53</v>
      </c>
      <c r="M585" s="2" t="n">
        <v>283</v>
      </c>
      <c r="N585" s="3" t="n">
        <v>20</v>
      </c>
      <c r="O585" s="4" t="n">
        <v>18.27</v>
      </c>
      <c r="P585" s="5" t="n">
        <v>0</v>
      </c>
      <c r="Q585" s="2" t="n">
        <v>0</v>
      </c>
      <c r="R585" s="4" t="n">
        <f aca="false">M585*O585</f>
        <v>5170.41</v>
      </c>
      <c r="S585" s="4" t="n">
        <f aca="false">R585*(P585/100)</f>
        <v>0</v>
      </c>
      <c r="T585" s="4" t="n">
        <f aca="false">R585-S585</f>
        <v>5170.41</v>
      </c>
    </row>
    <row r="586" customFormat="false" ht="15" hidden="false" customHeight="false" outlineLevel="0" collapsed="false">
      <c r="A586" s="2" t="n">
        <v>800585</v>
      </c>
      <c r="B586" s="2" t="s">
        <v>182</v>
      </c>
      <c r="C586" s="2" t="s">
        <v>32</v>
      </c>
      <c r="D586" s="2" t="s">
        <v>76</v>
      </c>
      <c r="E586" s="2" t="s">
        <v>77</v>
      </c>
      <c r="F586" s="2" t="s">
        <v>24</v>
      </c>
      <c r="G586" s="2" t="s">
        <v>62</v>
      </c>
      <c r="H586" s="2" t="s">
        <v>26</v>
      </c>
      <c r="I586" s="2" t="s">
        <v>57</v>
      </c>
      <c r="J586" s="2" t="s">
        <v>58</v>
      </c>
      <c r="K586" s="2" t="s">
        <v>59</v>
      </c>
      <c r="L586" s="2" t="s">
        <v>30</v>
      </c>
      <c r="M586" s="2" t="n">
        <v>434</v>
      </c>
      <c r="N586" s="3" t="n">
        <v>20</v>
      </c>
      <c r="O586" s="4" t="n">
        <v>18.72</v>
      </c>
      <c r="P586" s="5" t="n">
        <v>10</v>
      </c>
      <c r="Q586" s="2" t="n">
        <v>0</v>
      </c>
      <c r="R586" s="4" t="n">
        <f aca="false">M586*O586</f>
        <v>8124.48</v>
      </c>
      <c r="S586" s="4" t="n">
        <f aca="false">R586*(P586/100)</f>
        <v>812.448</v>
      </c>
      <c r="T586" s="4" t="n">
        <f aca="false">R586-S586</f>
        <v>7312.032</v>
      </c>
    </row>
    <row r="587" customFormat="false" ht="15" hidden="false" customHeight="false" outlineLevel="0" collapsed="false">
      <c r="A587" s="2" t="n">
        <v>800586</v>
      </c>
      <c r="B587" s="2" t="s">
        <v>393</v>
      </c>
      <c r="C587" s="2" t="s">
        <v>32</v>
      </c>
      <c r="D587" s="2" t="s">
        <v>55</v>
      </c>
      <c r="E587" s="2" t="s">
        <v>93</v>
      </c>
      <c r="F587" s="2" t="s">
        <v>24</v>
      </c>
      <c r="G587" s="2" t="s">
        <v>25</v>
      </c>
      <c r="H587" s="2" t="s">
        <v>26</v>
      </c>
      <c r="I587" s="2" t="s">
        <v>27</v>
      </c>
      <c r="J587" s="2" t="s">
        <v>91</v>
      </c>
      <c r="K587" s="2" t="s">
        <v>29</v>
      </c>
      <c r="L587" s="2" t="s">
        <v>161</v>
      </c>
      <c r="M587" s="2" t="n">
        <v>230</v>
      </c>
      <c r="N587" s="3" t="n">
        <v>35</v>
      </c>
      <c r="O587" s="4" t="n">
        <v>31.31</v>
      </c>
      <c r="P587" s="5" t="n">
        <v>0</v>
      </c>
      <c r="Q587" s="2" t="n">
        <v>0</v>
      </c>
      <c r="R587" s="4" t="n">
        <f aca="false">M587*O587</f>
        <v>7201.3</v>
      </c>
      <c r="S587" s="4" t="n">
        <f aca="false">R587*(P587/100)</f>
        <v>0</v>
      </c>
      <c r="T587" s="4" t="n">
        <f aca="false">R587-S587</f>
        <v>7201.3</v>
      </c>
    </row>
    <row r="588" customFormat="false" ht="15" hidden="false" customHeight="false" outlineLevel="0" collapsed="false">
      <c r="A588" s="2" t="n">
        <v>800587</v>
      </c>
      <c r="B588" s="2" t="s">
        <v>430</v>
      </c>
      <c r="C588" s="2" t="s">
        <v>84</v>
      </c>
      <c r="D588" s="2" t="s">
        <v>119</v>
      </c>
      <c r="E588" s="2" t="s">
        <v>120</v>
      </c>
      <c r="F588" s="2" t="s">
        <v>87</v>
      </c>
      <c r="G588" s="2" t="s">
        <v>62</v>
      </c>
      <c r="H588" s="2" t="s">
        <v>26</v>
      </c>
      <c r="I588" s="2" t="s">
        <v>37</v>
      </c>
      <c r="J588" s="2" t="s">
        <v>38</v>
      </c>
      <c r="K588" s="2" t="s">
        <v>39</v>
      </c>
      <c r="L588" s="2" t="s">
        <v>161</v>
      </c>
      <c r="M588" s="2" t="n">
        <v>142</v>
      </c>
      <c r="N588" s="3" t="n">
        <v>30</v>
      </c>
      <c r="O588" s="4" t="n">
        <v>25.98</v>
      </c>
      <c r="P588" s="5" t="n">
        <v>2</v>
      </c>
      <c r="Q588" s="2" t="n">
        <v>0</v>
      </c>
      <c r="R588" s="4" t="n">
        <f aca="false">M588*O588</f>
        <v>3689.16</v>
      </c>
      <c r="S588" s="4" t="n">
        <f aca="false">R588*(P588/100)</f>
        <v>73.7832</v>
      </c>
      <c r="T588" s="4" t="n">
        <f aca="false">R588-S588</f>
        <v>3615.3768</v>
      </c>
    </row>
    <row r="589" customFormat="false" ht="15" hidden="false" customHeight="false" outlineLevel="0" collapsed="false">
      <c r="A589" s="2" t="n">
        <v>800588</v>
      </c>
      <c r="B589" s="2" t="s">
        <v>426</v>
      </c>
      <c r="C589" s="2" t="s">
        <v>84</v>
      </c>
      <c r="D589" s="2" t="s">
        <v>164</v>
      </c>
      <c r="E589" s="2" t="s">
        <v>165</v>
      </c>
      <c r="F589" s="2" t="s">
        <v>35</v>
      </c>
      <c r="G589" s="2" t="s">
        <v>103</v>
      </c>
      <c r="H589" s="2" t="s">
        <v>26</v>
      </c>
      <c r="I589" s="2" t="s">
        <v>57</v>
      </c>
      <c r="J589" s="2" t="s">
        <v>104</v>
      </c>
      <c r="K589" s="2" t="s">
        <v>59</v>
      </c>
      <c r="L589" s="2" t="s">
        <v>99</v>
      </c>
      <c r="M589" s="2" t="n">
        <v>101</v>
      </c>
      <c r="N589" s="3" t="n">
        <v>25</v>
      </c>
      <c r="O589" s="4" t="n">
        <v>22.2</v>
      </c>
      <c r="P589" s="5" t="n">
        <v>0</v>
      </c>
      <c r="Q589" s="2" t="n">
        <v>0</v>
      </c>
      <c r="R589" s="4" t="n">
        <f aca="false">M589*O589</f>
        <v>2242.2</v>
      </c>
      <c r="S589" s="4" t="n">
        <f aca="false">R589*(P589/100)</f>
        <v>0</v>
      </c>
      <c r="T589" s="4" t="n">
        <f aca="false">R589-S589</f>
        <v>2242.2</v>
      </c>
    </row>
    <row r="590" customFormat="false" ht="15" hidden="false" customHeight="false" outlineLevel="0" collapsed="false">
      <c r="A590" s="2" t="n">
        <v>800589</v>
      </c>
      <c r="B590" s="2" t="s">
        <v>229</v>
      </c>
      <c r="C590" s="2" t="s">
        <v>32</v>
      </c>
      <c r="D590" s="2" t="s">
        <v>66</v>
      </c>
      <c r="E590" s="2" t="s">
        <v>67</v>
      </c>
      <c r="F590" s="2" t="s">
        <v>78</v>
      </c>
      <c r="G590" s="2" t="s">
        <v>36</v>
      </c>
      <c r="H590" s="2" t="s">
        <v>26</v>
      </c>
      <c r="I590" s="2" t="s">
        <v>69</v>
      </c>
      <c r="J590" s="2" t="s">
        <v>81</v>
      </c>
      <c r="K590" s="2" t="s">
        <v>71</v>
      </c>
      <c r="L590" s="2" t="s">
        <v>53</v>
      </c>
      <c r="M590" s="2" t="n">
        <v>172</v>
      </c>
      <c r="N590" s="3" t="n">
        <v>40</v>
      </c>
      <c r="O590" s="4" t="n">
        <v>38.86</v>
      </c>
      <c r="P590" s="5" t="n">
        <v>10</v>
      </c>
      <c r="Q590" s="2" t="n">
        <v>1</v>
      </c>
      <c r="R590" s="4" t="n">
        <f aca="false">M590*O590</f>
        <v>6683.92</v>
      </c>
      <c r="S590" s="4" t="n">
        <f aca="false">R590*(P590/100)</f>
        <v>668.392</v>
      </c>
      <c r="T590" s="4" t="n">
        <f aca="false">R590-S590</f>
        <v>6015.528</v>
      </c>
    </row>
    <row r="591" customFormat="false" ht="15" hidden="false" customHeight="false" outlineLevel="0" collapsed="false">
      <c r="A591" s="2" t="n">
        <v>800590</v>
      </c>
      <c r="B591" s="2" t="s">
        <v>206</v>
      </c>
      <c r="C591" s="2" t="s">
        <v>21</v>
      </c>
      <c r="D591" s="2" t="s">
        <v>101</v>
      </c>
      <c r="E591" s="2" t="s">
        <v>145</v>
      </c>
      <c r="F591" s="2" t="s">
        <v>24</v>
      </c>
      <c r="G591" s="2" t="s">
        <v>52</v>
      </c>
      <c r="H591" s="2" t="s">
        <v>26</v>
      </c>
      <c r="I591" s="2" t="s">
        <v>37</v>
      </c>
      <c r="J591" s="2" t="s">
        <v>38</v>
      </c>
      <c r="K591" s="2" t="s">
        <v>39</v>
      </c>
      <c r="L591" s="2" t="s">
        <v>30</v>
      </c>
      <c r="M591" s="2" t="n">
        <v>360</v>
      </c>
      <c r="N591" s="3" t="n">
        <v>30</v>
      </c>
      <c r="O591" s="4" t="n">
        <v>28.98</v>
      </c>
      <c r="P591" s="5" t="n">
        <v>5</v>
      </c>
      <c r="Q591" s="2" t="n">
        <v>2</v>
      </c>
      <c r="R591" s="4" t="n">
        <f aca="false">M591*O591</f>
        <v>10432.8</v>
      </c>
      <c r="S591" s="4" t="n">
        <f aca="false">R591*(P591/100)</f>
        <v>521.64</v>
      </c>
      <c r="T591" s="4" t="n">
        <f aca="false">R591-S591</f>
        <v>9911.16</v>
      </c>
    </row>
    <row r="592" customFormat="false" ht="15" hidden="false" customHeight="false" outlineLevel="0" collapsed="false">
      <c r="A592" s="2" t="n">
        <v>800591</v>
      </c>
      <c r="B592" s="2" t="s">
        <v>322</v>
      </c>
      <c r="C592" s="2" t="s">
        <v>32</v>
      </c>
      <c r="D592" s="2" t="s">
        <v>76</v>
      </c>
      <c r="E592" s="2" t="s">
        <v>96</v>
      </c>
      <c r="F592" s="2" t="s">
        <v>87</v>
      </c>
      <c r="G592" s="2" t="s">
        <v>137</v>
      </c>
      <c r="H592" s="2" t="s">
        <v>26</v>
      </c>
      <c r="I592" s="2" t="s">
        <v>37</v>
      </c>
      <c r="J592" s="2" t="s">
        <v>38</v>
      </c>
      <c r="K592" s="2" t="s">
        <v>39</v>
      </c>
      <c r="L592" s="2" t="s">
        <v>99</v>
      </c>
      <c r="M592" s="2" t="n">
        <v>498</v>
      </c>
      <c r="N592" s="3" t="n">
        <v>30</v>
      </c>
      <c r="O592" s="4" t="n">
        <v>27.28</v>
      </c>
      <c r="P592" s="5" t="n">
        <v>0</v>
      </c>
      <c r="Q592" s="2" t="n">
        <v>0</v>
      </c>
      <c r="R592" s="4" t="n">
        <f aca="false">M592*O592</f>
        <v>13585.44</v>
      </c>
      <c r="S592" s="4" t="n">
        <f aca="false">R592*(P592/100)</f>
        <v>0</v>
      </c>
      <c r="T592" s="4" t="n">
        <f aca="false">R592-S592</f>
        <v>13585.44</v>
      </c>
    </row>
    <row r="593" customFormat="false" ht="15" hidden="false" customHeight="false" outlineLevel="0" collapsed="false">
      <c r="A593" s="2" t="n">
        <v>800592</v>
      </c>
      <c r="B593" s="2" t="s">
        <v>159</v>
      </c>
      <c r="C593" s="2" t="s">
        <v>32</v>
      </c>
      <c r="D593" s="2" t="s">
        <v>55</v>
      </c>
      <c r="E593" s="2" t="s">
        <v>93</v>
      </c>
      <c r="F593" s="2" t="s">
        <v>51</v>
      </c>
      <c r="G593" s="2" t="s">
        <v>68</v>
      </c>
      <c r="H593" s="2" t="s">
        <v>26</v>
      </c>
      <c r="I593" s="2" t="s">
        <v>37</v>
      </c>
      <c r="J593" s="2" t="s">
        <v>38</v>
      </c>
      <c r="K593" s="2" t="s">
        <v>39</v>
      </c>
      <c r="L593" s="2" t="s">
        <v>60</v>
      </c>
      <c r="M593" s="2" t="n">
        <v>293</v>
      </c>
      <c r="N593" s="3" t="n">
        <v>30</v>
      </c>
      <c r="O593" s="4" t="n">
        <v>27.07</v>
      </c>
      <c r="P593" s="5" t="n">
        <v>0</v>
      </c>
      <c r="Q593" s="2" t="n">
        <v>1</v>
      </c>
      <c r="R593" s="4" t="n">
        <f aca="false">M593*O593</f>
        <v>7931.51</v>
      </c>
      <c r="S593" s="4" t="n">
        <f aca="false">R593*(P593/100)</f>
        <v>0</v>
      </c>
      <c r="T593" s="4" t="n">
        <f aca="false">R593-S593</f>
        <v>7931.51</v>
      </c>
    </row>
    <row r="594" customFormat="false" ht="15" hidden="false" customHeight="false" outlineLevel="0" collapsed="false">
      <c r="A594" s="2" t="n">
        <v>800593</v>
      </c>
      <c r="B594" s="2" t="s">
        <v>403</v>
      </c>
      <c r="C594" s="2" t="s">
        <v>41</v>
      </c>
      <c r="D594" s="2" t="s">
        <v>42</v>
      </c>
      <c r="E594" s="2" t="s">
        <v>179</v>
      </c>
      <c r="F594" s="2" t="s">
        <v>24</v>
      </c>
      <c r="G594" s="2" t="s">
        <v>68</v>
      </c>
      <c r="H594" s="2" t="s">
        <v>26</v>
      </c>
      <c r="I594" s="2" t="s">
        <v>27</v>
      </c>
      <c r="J594" s="2" t="s">
        <v>91</v>
      </c>
      <c r="K594" s="2" t="s">
        <v>29</v>
      </c>
      <c r="L594" s="2" t="s">
        <v>60</v>
      </c>
      <c r="M594" s="2" t="n">
        <v>386</v>
      </c>
      <c r="N594" s="3" t="n">
        <v>35</v>
      </c>
      <c r="O594" s="4" t="n">
        <v>31.55</v>
      </c>
      <c r="P594" s="5" t="n">
        <v>5</v>
      </c>
      <c r="Q594" s="2" t="n">
        <v>0</v>
      </c>
      <c r="R594" s="4" t="n">
        <f aca="false">M594*O594</f>
        <v>12178.3</v>
      </c>
      <c r="S594" s="4" t="n">
        <f aca="false">R594*(P594/100)</f>
        <v>608.915</v>
      </c>
      <c r="T594" s="4" t="n">
        <f aca="false">R594-S594</f>
        <v>11569.385</v>
      </c>
    </row>
    <row r="595" customFormat="false" ht="15" hidden="false" customHeight="false" outlineLevel="0" collapsed="false">
      <c r="A595" s="2" t="n">
        <v>800594</v>
      </c>
      <c r="B595" s="2" t="s">
        <v>279</v>
      </c>
      <c r="C595" s="2" t="s">
        <v>21</v>
      </c>
      <c r="D595" s="2" t="s">
        <v>22</v>
      </c>
      <c r="E595" s="2" t="s">
        <v>109</v>
      </c>
      <c r="F595" s="2" t="s">
        <v>87</v>
      </c>
      <c r="G595" s="2" t="s">
        <v>90</v>
      </c>
      <c r="H595" s="2" t="s">
        <v>26</v>
      </c>
      <c r="I595" s="2" t="s">
        <v>57</v>
      </c>
      <c r="J595" s="2" t="s">
        <v>58</v>
      </c>
      <c r="K595" s="2" t="s">
        <v>59</v>
      </c>
      <c r="L595" s="2" t="s">
        <v>82</v>
      </c>
      <c r="M595" s="2" t="n">
        <v>482</v>
      </c>
      <c r="N595" s="3" t="n">
        <v>20</v>
      </c>
      <c r="O595" s="4" t="n">
        <v>19.27</v>
      </c>
      <c r="P595" s="5" t="n">
        <v>0</v>
      </c>
      <c r="Q595" s="2" t="n">
        <v>3</v>
      </c>
      <c r="R595" s="4" t="n">
        <f aca="false">M595*O595</f>
        <v>9288.14</v>
      </c>
      <c r="S595" s="4" t="n">
        <f aca="false">R595*(P595/100)</f>
        <v>0</v>
      </c>
      <c r="T595" s="4" t="n">
        <f aca="false">R595-S595</f>
        <v>9288.14</v>
      </c>
    </row>
    <row r="596" customFormat="false" ht="15" hidden="false" customHeight="false" outlineLevel="0" collapsed="false">
      <c r="A596" s="2" t="n">
        <v>800595</v>
      </c>
      <c r="B596" s="2" t="s">
        <v>224</v>
      </c>
      <c r="C596" s="2" t="s">
        <v>41</v>
      </c>
      <c r="D596" s="2" t="s">
        <v>42</v>
      </c>
      <c r="E596" s="2" t="s">
        <v>131</v>
      </c>
      <c r="F596" s="2" t="s">
        <v>51</v>
      </c>
      <c r="G596" s="2" t="s">
        <v>68</v>
      </c>
      <c r="H596" s="2" t="s">
        <v>26</v>
      </c>
      <c r="I596" s="2" t="s">
        <v>44</v>
      </c>
      <c r="J596" s="2" t="s">
        <v>45</v>
      </c>
      <c r="K596" s="2" t="s">
        <v>46</v>
      </c>
      <c r="L596" s="2" t="s">
        <v>99</v>
      </c>
      <c r="M596" s="2" t="n">
        <v>172</v>
      </c>
      <c r="N596" s="3" t="n">
        <v>20</v>
      </c>
      <c r="O596" s="4" t="n">
        <v>17.59</v>
      </c>
      <c r="P596" s="5" t="n">
        <v>0</v>
      </c>
      <c r="Q596" s="2" t="n">
        <v>2</v>
      </c>
      <c r="R596" s="4" t="n">
        <f aca="false">M596*O596</f>
        <v>3025.48</v>
      </c>
      <c r="S596" s="4" t="n">
        <f aca="false">R596*(P596/100)</f>
        <v>0</v>
      </c>
      <c r="T596" s="4" t="n">
        <f aca="false">R596-S596</f>
        <v>3025.48</v>
      </c>
    </row>
    <row r="597" customFormat="false" ht="15" hidden="false" customHeight="false" outlineLevel="0" collapsed="false">
      <c r="A597" s="2" t="n">
        <v>800596</v>
      </c>
      <c r="B597" s="2" t="s">
        <v>130</v>
      </c>
      <c r="C597" s="2" t="s">
        <v>84</v>
      </c>
      <c r="D597" s="2" t="s">
        <v>164</v>
      </c>
      <c r="E597" s="2" t="s">
        <v>211</v>
      </c>
      <c r="F597" s="2" t="s">
        <v>87</v>
      </c>
      <c r="G597" s="2" t="s">
        <v>52</v>
      </c>
      <c r="H597" s="2" t="s">
        <v>26</v>
      </c>
      <c r="I597" s="2" t="s">
        <v>57</v>
      </c>
      <c r="J597" s="2" t="s">
        <v>58</v>
      </c>
      <c r="K597" s="2" t="s">
        <v>59</v>
      </c>
      <c r="L597" s="2" t="s">
        <v>161</v>
      </c>
      <c r="M597" s="2" t="n">
        <v>494</v>
      </c>
      <c r="N597" s="3" t="n">
        <v>20</v>
      </c>
      <c r="O597" s="4" t="n">
        <v>19.36</v>
      </c>
      <c r="P597" s="5" t="n">
        <v>10</v>
      </c>
      <c r="Q597" s="2" t="n">
        <v>0</v>
      </c>
      <c r="R597" s="4" t="n">
        <f aca="false">M597*O597</f>
        <v>9563.84</v>
      </c>
      <c r="S597" s="4" t="n">
        <f aca="false">R597*(P597/100)</f>
        <v>956.384</v>
      </c>
      <c r="T597" s="4" t="n">
        <f aca="false">R597-S597</f>
        <v>8607.456</v>
      </c>
    </row>
    <row r="598" customFormat="false" ht="15" hidden="false" customHeight="false" outlineLevel="0" collapsed="false">
      <c r="A598" s="2" t="n">
        <v>800597</v>
      </c>
      <c r="B598" s="2" t="s">
        <v>431</v>
      </c>
      <c r="C598" s="2" t="s">
        <v>84</v>
      </c>
      <c r="D598" s="2" t="s">
        <v>128</v>
      </c>
      <c r="E598" s="2" t="s">
        <v>199</v>
      </c>
      <c r="F598" s="2" t="s">
        <v>51</v>
      </c>
      <c r="G598" s="2" t="s">
        <v>143</v>
      </c>
      <c r="H598" s="2" t="s">
        <v>26</v>
      </c>
      <c r="I598" s="2" t="s">
        <v>37</v>
      </c>
      <c r="J598" s="2" t="s">
        <v>38</v>
      </c>
      <c r="K598" s="2" t="s">
        <v>39</v>
      </c>
      <c r="L598" s="2" t="s">
        <v>60</v>
      </c>
      <c r="M598" s="2" t="n">
        <v>375</v>
      </c>
      <c r="N598" s="3" t="n">
        <v>30</v>
      </c>
      <c r="O598" s="4" t="n">
        <v>25.61</v>
      </c>
      <c r="P598" s="5" t="n">
        <v>0</v>
      </c>
      <c r="Q598" s="2" t="n">
        <v>0</v>
      </c>
      <c r="R598" s="4" t="n">
        <f aca="false">M598*O598</f>
        <v>9603.75</v>
      </c>
      <c r="S598" s="4" t="n">
        <f aca="false">R598*(P598/100)</f>
        <v>0</v>
      </c>
      <c r="T598" s="4" t="n">
        <f aca="false">R598-S598</f>
        <v>9603.75</v>
      </c>
    </row>
    <row r="599" customFormat="false" ht="15" hidden="false" customHeight="false" outlineLevel="0" collapsed="false">
      <c r="A599" s="2" t="n">
        <v>800598</v>
      </c>
      <c r="B599" s="2" t="s">
        <v>301</v>
      </c>
      <c r="C599" s="2" t="s">
        <v>41</v>
      </c>
      <c r="D599" s="2" t="s">
        <v>49</v>
      </c>
      <c r="E599" s="2" t="s">
        <v>50</v>
      </c>
      <c r="F599" s="2" t="s">
        <v>78</v>
      </c>
      <c r="G599" s="2" t="s">
        <v>103</v>
      </c>
      <c r="H599" s="2" t="s">
        <v>26</v>
      </c>
      <c r="I599" s="2" t="s">
        <v>27</v>
      </c>
      <c r="J599" s="2" t="s">
        <v>91</v>
      </c>
      <c r="K599" s="2" t="s">
        <v>29</v>
      </c>
      <c r="L599" s="2" t="s">
        <v>82</v>
      </c>
      <c r="M599" s="2" t="n">
        <v>314</v>
      </c>
      <c r="N599" s="3" t="n">
        <v>35</v>
      </c>
      <c r="O599" s="4" t="n">
        <v>30.15</v>
      </c>
      <c r="P599" s="5" t="n">
        <v>0</v>
      </c>
      <c r="Q599" s="2" t="n">
        <v>0</v>
      </c>
      <c r="R599" s="4" t="n">
        <f aca="false">M599*O599</f>
        <v>9467.1</v>
      </c>
      <c r="S599" s="4" t="n">
        <f aca="false">R599*(P599/100)</f>
        <v>0</v>
      </c>
      <c r="T599" s="4" t="n">
        <f aca="false">R599-S599</f>
        <v>9467.1</v>
      </c>
    </row>
    <row r="600" customFormat="false" ht="15" hidden="false" customHeight="false" outlineLevel="0" collapsed="false">
      <c r="A600" s="2" t="n">
        <v>800599</v>
      </c>
      <c r="B600" s="2" t="s">
        <v>169</v>
      </c>
      <c r="C600" s="2" t="s">
        <v>32</v>
      </c>
      <c r="D600" s="2" t="s">
        <v>76</v>
      </c>
      <c r="E600" s="2" t="s">
        <v>77</v>
      </c>
      <c r="F600" s="2" t="s">
        <v>87</v>
      </c>
      <c r="G600" s="2" t="s">
        <v>94</v>
      </c>
      <c r="H600" s="2" t="s">
        <v>26</v>
      </c>
      <c r="I600" s="2" t="s">
        <v>57</v>
      </c>
      <c r="J600" s="2" t="s">
        <v>104</v>
      </c>
      <c r="K600" s="2" t="s">
        <v>59</v>
      </c>
      <c r="L600" s="2" t="s">
        <v>107</v>
      </c>
      <c r="M600" s="2" t="n">
        <v>108</v>
      </c>
      <c r="N600" s="3" t="n">
        <v>25</v>
      </c>
      <c r="O600" s="4" t="n">
        <v>23.66</v>
      </c>
      <c r="P600" s="5" t="n">
        <v>7.5</v>
      </c>
      <c r="Q600" s="2" t="n">
        <v>0</v>
      </c>
      <c r="R600" s="4" t="n">
        <f aca="false">M600*O600</f>
        <v>2555.28</v>
      </c>
      <c r="S600" s="4" t="n">
        <f aca="false">R600*(P600/100)</f>
        <v>191.646</v>
      </c>
      <c r="T600" s="4" t="n">
        <f aca="false">R600-S600</f>
        <v>2363.634</v>
      </c>
    </row>
    <row r="601" customFormat="false" ht="15" hidden="false" customHeight="false" outlineLevel="0" collapsed="false">
      <c r="A601" s="2" t="n">
        <v>800600</v>
      </c>
      <c r="B601" s="2" t="s">
        <v>363</v>
      </c>
      <c r="C601" s="2" t="s">
        <v>21</v>
      </c>
      <c r="D601" s="2" t="s">
        <v>101</v>
      </c>
      <c r="E601" s="2" t="s">
        <v>102</v>
      </c>
      <c r="F601" s="2" t="s">
        <v>24</v>
      </c>
      <c r="G601" s="2" t="s">
        <v>103</v>
      </c>
      <c r="H601" s="2" t="s">
        <v>26</v>
      </c>
      <c r="I601" s="2" t="s">
        <v>57</v>
      </c>
      <c r="J601" s="2" t="s">
        <v>104</v>
      </c>
      <c r="K601" s="2" t="s">
        <v>59</v>
      </c>
      <c r="L601" s="2" t="s">
        <v>132</v>
      </c>
      <c r="M601" s="2" t="n">
        <v>31</v>
      </c>
      <c r="N601" s="3" t="n">
        <v>25</v>
      </c>
      <c r="O601" s="4" t="n">
        <v>24.48</v>
      </c>
      <c r="P601" s="5" t="n">
        <v>2</v>
      </c>
      <c r="Q601" s="2" t="n">
        <v>0</v>
      </c>
      <c r="R601" s="4" t="n">
        <f aca="false">M601*O601</f>
        <v>758.88</v>
      </c>
      <c r="S601" s="4" t="n">
        <f aca="false">R601*(P601/100)</f>
        <v>15.1776</v>
      </c>
      <c r="T601" s="4" t="n">
        <f aca="false">R601-S601</f>
        <v>743.7024</v>
      </c>
    </row>
    <row r="602" customFormat="false" ht="15" hidden="false" customHeight="false" outlineLevel="0" collapsed="false">
      <c r="A602" s="2" t="n">
        <v>800601</v>
      </c>
      <c r="B602" s="2" t="s">
        <v>290</v>
      </c>
      <c r="C602" s="2" t="s">
        <v>32</v>
      </c>
      <c r="D602" s="2" t="s">
        <v>55</v>
      </c>
      <c r="E602" s="2" t="s">
        <v>56</v>
      </c>
      <c r="F602" s="2" t="s">
        <v>78</v>
      </c>
      <c r="G602" s="2" t="s">
        <v>103</v>
      </c>
      <c r="H602" s="2" t="s">
        <v>26</v>
      </c>
      <c r="I602" s="2" t="s">
        <v>37</v>
      </c>
      <c r="J602" s="2" t="s">
        <v>38</v>
      </c>
      <c r="K602" s="2" t="s">
        <v>39</v>
      </c>
      <c r="L602" s="2" t="s">
        <v>53</v>
      </c>
      <c r="M602" s="2" t="n">
        <v>153</v>
      </c>
      <c r="N602" s="3" t="n">
        <v>30</v>
      </c>
      <c r="O602" s="4" t="n">
        <v>26.13</v>
      </c>
      <c r="P602" s="5" t="n">
        <v>7.5</v>
      </c>
      <c r="Q602" s="2" t="n">
        <v>0</v>
      </c>
      <c r="R602" s="4" t="n">
        <f aca="false">M602*O602</f>
        <v>3997.89</v>
      </c>
      <c r="S602" s="4" t="n">
        <f aca="false">R602*(P602/100)</f>
        <v>299.84175</v>
      </c>
      <c r="T602" s="4" t="n">
        <f aca="false">R602-S602</f>
        <v>3698.04825</v>
      </c>
    </row>
    <row r="603" customFormat="false" ht="15" hidden="false" customHeight="false" outlineLevel="0" collapsed="false">
      <c r="A603" s="2" t="n">
        <v>800602</v>
      </c>
      <c r="B603" s="2" t="s">
        <v>432</v>
      </c>
      <c r="C603" s="2" t="s">
        <v>21</v>
      </c>
      <c r="D603" s="2" t="s">
        <v>22</v>
      </c>
      <c r="E603" s="2" t="s">
        <v>23</v>
      </c>
      <c r="F603" s="2" t="s">
        <v>51</v>
      </c>
      <c r="G603" s="2" t="s">
        <v>62</v>
      </c>
      <c r="H603" s="2" t="s">
        <v>26</v>
      </c>
      <c r="I603" s="2" t="s">
        <v>57</v>
      </c>
      <c r="J603" s="2" t="s">
        <v>104</v>
      </c>
      <c r="K603" s="2" t="s">
        <v>59</v>
      </c>
      <c r="L603" s="2" t="s">
        <v>99</v>
      </c>
      <c r="M603" s="2" t="n">
        <v>385</v>
      </c>
      <c r="N603" s="3" t="n">
        <v>25</v>
      </c>
      <c r="O603" s="4" t="n">
        <v>21.96</v>
      </c>
      <c r="P603" s="5" t="n">
        <v>5</v>
      </c>
      <c r="Q603" s="2" t="n">
        <v>0</v>
      </c>
      <c r="R603" s="4" t="n">
        <f aca="false">M603*O603</f>
        <v>8454.6</v>
      </c>
      <c r="S603" s="4" t="n">
        <f aca="false">R603*(P603/100)</f>
        <v>422.73</v>
      </c>
      <c r="T603" s="4" t="n">
        <f aca="false">R603-S603</f>
        <v>8031.87</v>
      </c>
    </row>
    <row r="604" customFormat="false" ht="15" hidden="false" customHeight="false" outlineLevel="0" collapsed="false">
      <c r="A604" s="2" t="n">
        <v>800603</v>
      </c>
      <c r="B604" s="2" t="s">
        <v>433</v>
      </c>
      <c r="C604" s="2" t="s">
        <v>41</v>
      </c>
      <c r="D604" s="2" t="s">
        <v>73</v>
      </c>
      <c r="E604" s="2" t="s">
        <v>74</v>
      </c>
      <c r="F604" s="2" t="s">
        <v>24</v>
      </c>
      <c r="G604" s="2" t="s">
        <v>143</v>
      </c>
      <c r="H604" s="2" t="s">
        <v>26</v>
      </c>
      <c r="I604" s="2" t="s">
        <v>27</v>
      </c>
      <c r="J604" s="2" t="s">
        <v>91</v>
      </c>
      <c r="K604" s="2" t="s">
        <v>29</v>
      </c>
      <c r="L604" s="2" t="s">
        <v>99</v>
      </c>
      <c r="M604" s="2" t="n">
        <v>234</v>
      </c>
      <c r="N604" s="3" t="n">
        <v>35</v>
      </c>
      <c r="O604" s="4" t="n">
        <v>30.63</v>
      </c>
      <c r="P604" s="5" t="n">
        <v>0</v>
      </c>
      <c r="Q604" s="2" t="n">
        <v>0</v>
      </c>
      <c r="R604" s="4" t="n">
        <f aca="false">M604*O604</f>
        <v>7167.42</v>
      </c>
      <c r="S604" s="4" t="n">
        <f aca="false">R604*(P604/100)</f>
        <v>0</v>
      </c>
      <c r="T604" s="4" t="n">
        <f aca="false">R604-S604</f>
        <v>7167.42</v>
      </c>
    </row>
    <row r="605" customFormat="false" ht="15" hidden="false" customHeight="false" outlineLevel="0" collapsed="false">
      <c r="A605" s="2" t="n">
        <v>800604</v>
      </c>
      <c r="B605" s="2" t="s">
        <v>434</v>
      </c>
      <c r="C605" s="2" t="s">
        <v>84</v>
      </c>
      <c r="D605" s="2" t="s">
        <v>85</v>
      </c>
      <c r="E605" s="2" t="s">
        <v>124</v>
      </c>
      <c r="F605" s="2" t="s">
        <v>24</v>
      </c>
      <c r="G605" s="2" t="s">
        <v>137</v>
      </c>
      <c r="H605" s="2" t="s">
        <v>26</v>
      </c>
      <c r="I605" s="2" t="s">
        <v>37</v>
      </c>
      <c r="J605" s="2" t="s">
        <v>38</v>
      </c>
      <c r="K605" s="2" t="s">
        <v>39</v>
      </c>
      <c r="L605" s="2" t="s">
        <v>47</v>
      </c>
      <c r="M605" s="2" t="n">
        <v>25</v>
      </c>
      <c r="N605" s="3" t="n">
        <v>30</v>
      </c>
      <c r="O605" s="4" t="n">
        <v>27.47</v>
      </c>
      <c r="P605" s="5" t="n">
        <v>7.5</v>
      </c>
      <c r="Q605" s="2" t="n">
        <v>1</v>
      </c>
      <c r="R605" s="4" t="n">
        <f aca="false">M605*O605</f>
        <v>686.75</v>
      </c>
      <c r="S605" s="4" t="n">
        <f aca="false">R605*(P605/100)</f>
        <v>51.50625</v>
      </c>
      <c r="T605" s="4" t="n">
        <f aca="false">R605-S605</f>
        <v>635.24375</v>
      </c>
    </row>
    <row r="606" customFormat="false" ht="15" hidden="false" customHeight="false" outlineLevel="0" collapsed="false">
      <c r="A606" s="2" t="n">
        <v>800605</v>
      </c>
      <c r="B606" s="2" t="s">
        <v>54</v>
      </c>
      <c r="C606" s="2" t="s">
        <v>32</v>
      </c>
      <c r="D606" s="2" t="s">
        <v>151</v>
      </c>
      <c r="E606" s="2" t="s">
        <v>152</v>
      </c>
      <c r="F606" s="2" t="s">
        <v>35</v>
      </c>
      <c r="G606" s="2" t="s">
        <v>68</v>
      </c>
      <c r="H606" s="2" t="s">
        <v>26</v>
      </c>
      <c r="I606" s="2" t="s">
        <v>69</v>
      </c>
      <c r="J606" s="2" t="s">
        <v>134</v>
      </c>
      <c r="K606" s="2" t="s">
        <v>71</v>
      </c>
      <c r="L606" s="2" t="s">
        <v>30</v>
      </c>
      <c r="M606" s="2" t="n">
        <v>50</v>
      </c>
      <c r="N606" s="3" t="n">
        <v>40</v>
      </c>
      <c r="O606" s="4" t="n">
        <v>34.29</v>
      </c>
      <c r="P606" s="5" t="n">
        <v>2</v>
      </c>
      <c r="Q606" s="2" t="n">
        <v>2</v>
      </c>
      <c r="R606" s="4" t="n">
        <f aca="false">M606*O606</f>
        <v>1714.5</v>
      </c>
      <c r="S606" s="4" t="n">
        <f aca="false">R606*(P606/100)</f>
        <v>34.29</v>
      </c>
      <c r="T606" s="4" t="n">
        <f aca="false">R606-S606</f>
        <v>1680.21</v>
      </c>
    </row>
    <row r="607" customFormat="false" ht="15" hidden="false" customHeight="false" outlineLevel="0" collapsed="false">
      <c r="A607" s="2" t="n">
        <v>800606</v>
      </c>
      <c r="B607" s="2" t="s">
        <v>248</v>
      </c>
      <c r="C607" s="2" t="s">
        <v>21</v>
      </c>
      <c r="D607" s="2" t="s">
        <v>22</v>
      </c>
      <c r="E607" s="2" t="s">
        <v>23</v>
      </c>
      <c r="F607" s="2" t="s">
        <v>35</v>
      </c>
      <c r="G607" s="2" t="s">
        <v>143</v>
      </c>
      <c r="H607" s="2" t="s">
        <v>26</v>
      </c>
      <c r="I607" s="2" t="s">
        <v>57</v>
      </c>
      <c r="J607" s="2" t="s">
        <v>58</v>
      </c>
      <c r="K607" s="2" t="s">
        <v>59</v>
      </c>
      <c r="L607" s="2" t="s">
        <v>161</v>
      </c>
      <c r="M607" s="2" t="n">
        <v>363</v>
      </c>
      <c r="N607" s="3" t="n">
        <v>20</v>
      </c>
      <c r="O607" s="4" t="n">
        <v>18.04</v>
      </c>
      <c r="P607" s="5" t="n">
        <v>0</v>
      </c>
      <c r="Q607" s="2" t="n">
        <v>0</v>
      </c>
      <c r="R607" s="4" t="n">
        <f aca="false">M607*O607</f>
        <v>6548.52</v>
      </c>
      <c r="S607" s="4" t="n">
        <f aca="false">R607*(P607/100)</f>
        <v>0</v>
      </c>
      <c r="T607" s="4" t="n">
        <f aca="false">R607-S607</f>
        <v>6548.52</v>
      </c>
    </row>
    <row r="608" customFormat="false" ht="15" hidden="false" customHeight="false" outlineLevel="0" collapsed="false">
      <c r="A608" s="2" t="n">
        <v>800607</v>
      </c>
      <c r="B608" s="2" t="s">
        <v>372</v>
      </c>
      <c r="C608" s="2" t="s">
        <v>32</v>
      </c>
      <c r="D608" s="2" t="s">
        <v>76</v>
      </c>
      <c r="E608" s="2" t="s">
        <v>77</v>
      </c>
      <c r="F608" s="2" t="s">
        <v>87</v>
      </c>
      <c r="G608" s="2" t="s">
        <v>94</v>
      </c>
      <c r="H608" s="2" t="s">
        <v>26</v>
      </c>
      <c r="I608" s="2" t="s">
        <v>27</v>
      </c>
      <c r="J608" s="2" t="s">
        <v>28</v>
      </c>
      <c r="K608" s="2" t="s">
        <v>29</v>
      </c>
      <c r="L608" s="2" t="s">
        <v>82</v>
      </c>
      <c r="M608" s="2" t="n">
        <v>383</v>
      </c>
      <c r="N608" s="3" t="n">
        <v>30</v>
      </c>
      <c r="O608" s="4" t="n">
        <v>27.73</v>
      </c>
      <c r="P608" s="5" t="n">
        <v>0</v>
      </c>
      <c r="Q608" s="2" t="n">
        <v>0</v>
      </c>
      <c r="R608" s="4" t="n">
        <f aca="false">M608*O608</f>
        <v>10620.59</v>
      </c>
      <c r="S608" s="4" t="n">
        <f aca="false">R608*(P608/100)</f>
        <v>0</v>
      </c>
      <c r="T608" s="4" t="n">
        <f aca="false">R608-S608</f>
        <v>10620.59</v>
      </c>
    </row>
    <row r="609" customFormat="false" ht="15" hidden="false" customHeight="false" outlineLevel="0" collapsed="false">
      <c r="A609" s="2" t="n">
        <v>800608</v>
      </c>
      <c r="B609" s="2" t="s">
        <v>247</v>
      </c>
      <c r="C609" s="2" t="s">
        <v>84</v>
      </c>
      <c r="D609" s="2" t="s">
        <v>128</v>
      </c>
      <c r="E609" s="2" t="s">
        <v>129</v>
      </c>
      <c r="F609" s="2" t="s">
        <v>51</v>
      </c>
      <c r="G609" s="2" t="s">
        <v>68</v>
      </c>
      <c r="H609" s="2" t="s">
        <v>26</v>
      </c>
      <c r="I609" s="2" t="s">
        <v>44</v>
      </c>
      <c r="J609" s="2" t="s">
        <v>45</v>
      </c>
      <c r="K609" s="2" t="s">
        <v>111</v>
      </c>
      <c r="L609" s="2" t="s">
        <v>107</v>
      </c>
      <c r="M609" s="2" t="n">
        <v>482</v>
      </c>
      <c r="N609" s="3" t="n">
        <v>10</v>
      </c>
      <c r="O609" s="4" t="n">
        <v>9.73</v>
      </c>
      <c r="P609" s="5" t="n">
        <v>5</v>
      </c>
      <c r="Q609" s="2" t="n">
        <v>3</v>
      </c>
      <c r="R609" s="4" t="n">
        <f aca="false">M609*O609</f>
        <v>4689.86</v>
      </c>
      <c r="S609" s="4" t="n">
        <f aca="false">R609*(P609/100)</f>
        <v>234.493</v>
      </c>
      <c r="T609" s="4" t="n">
        <f aca="false">R609-S609</f>
        <v>4455.367</v>
      </c>
    </row>
    <row r="610" customFormat="false" ht="15" hidden="false" customHeight="false" outlineLevel="0" collapsed="false">
      <c r="A610" s="2" t="n">
        <v>800609</v>
      </c>
      <c r="B610" s="2" t="s">
        <v>200</v>
      </c>
      <c r="C610" s="2" t="s">
        <v>41</v>
      </c>
      <c r="D610" s="2" t="s">
        <v>73</v>
      </c>
      <c r="E610" s="2" t="s">
        <v>74</v>
      </c>
      <c r="F610" s="2" t="s">
        <v>51</v>
      </c>
      <c r="G610" s="2" t="s">
        <v>106</v>
      </c>
      <c r="H610" s="2" t="s">
        <v>26</v>
      </c>
      <c r="I610" s="2" t="s">
        <v>37</v>
      </c>
      <c r="J610" s="2" t="s">
        <v>38</v>
      </c>
      <c r="K610" s="2" t="s">
        <v>39</v>
      </c>
      <c r="L610" s="2" t="s">
        <v>132</v>
      </c>
      <c r="M610" s="2" t="n">
        <v>116</v>
      </c>
      <c r="N610" s="3" t="n">
        <v>30</v>
      </c>
      <c r="O610" s="4" t="n">
        <v>26.12</v>
      </c>
      <c r="P610" s="5" t="n">
        <v>2</v>
      </c>
      <c r="Q610" s="2" t="n">
        <v>0</v>
      </c>
      <c r="R610" s="4" t="n">
        <f aca="false">M610*O610</f>
        <v>3029.92</v>
      </c>
      <c r="S610" s="4" t="n">
        <f aca="false">R610*(P610/100)</f>
        <v>60.5984</v>
      </c>
      <c r="T610" s="4" t="n">
        <f aca="false">R610-S610</f>
        <v>2969.3216</v>
      </c>
    </row>
    <row r="611" customFormat="false" ht="15" hidden="false" customHeight="false" outlineLevel="0" collapsed="false">
      <c r="A611" s="2" t="n">
        <v>800610</v>
      </c>
      <c r="B611" s="2" t="s">
        <v>329</v>
      </c>
      <c r="C611" s="2" t="s">
        <v>41</v>
      </c>
      <c r="D611" s="2" t="s">
        <v>42</v>
      </c>
      <c r="E611" s="2" t="s">
        <v>131</v>
      </c>
      <c r="F611" s="2" t="s">
        <v>51</v>
      </c>
      <c r="G611" s="2" t="s">
        <v>103</v>
      </c>
      <c r="H611" s="2" t="s">
        <v>26</v>
      </c>
      <c r="I611" s="2" t="s">
        <v>69</v>
      </c>
      <c r="J611" s="2" t="s">
        <v>114</v>
      </c>
      <c r="K611" s="2" t="s">
        <v>29</v>
      </c>
      <c r="L611" s="2" t="s">
        <v>132</v>
      </c>
      <c r="M611" s="2" t="n">
        <v>246</v>
      </c>
      <c r="N611" s="3" t="n">
        <v>20</v>
      </c>
      <c r="O611" s="4" t="n">
        <v>18</v>
      </c>
      <c r="P611" s="5" t="n">
        <v>12.5</v>
      </c>
      <c r="Q611" s="2" t="n">
        <v>2</v>
      </c>
      <c r="R611" s="4" t="n">
        <f aca="false">M611*O611</f>
        <v>4428</v>
      </c>
      <c r="S611" s="4" t="n">
        <f aca="false">R611*(P611/100)</f>
        <v>553.5</v>
      </c>
      <c r="T611" s="4" t="n">
        <f aca="false">R611-S611</f>
        <v>3874.5</v>
      </c>
    </row>
    <row r="612" customFormat="false" ht="15" hidden="false" customHeight="false" outlineLevel="0" collapsed="false">
      <c r="A612" s="2" t="n">
        <v>800611</v>
      </c>
      <c r="B612" s="2" t="s">
        <v>435</v>
      </c>
      <c r="C612" s="2" t="s">
        <v>21</v>
      </c>
      <c r="D612" s="2" t="s">
        <v>116</v>
      </c>
      <c r="E612" s="2" t="s">
        <v>117</v>
      </c>
      <c r="F612" s="2" t="s">
        <v>87</v>
      </c>
      <c r="G612" s="2" t="s">
        <v>52</v>
      </c>
      <c r="H612" s="2" t="s">
        <v>26</v>
      </c>
      <c r="I612" s="2" t="s">
        <v>27</v>
      </c>
      <c r="J612" s="2" t="s">
        <v>91</v>
      </c>
      <c r="K612" s="2" t="s">
        <v>29</v>
      </c>
      <c r="L612" s="2" t="s">
        <v>64</v>
      </c>
      <c r="M612" s="2" t="n">
        <v>447</v>
      </c>
      <c r="N612" s="3" t="n">
        <v>35</v>
      </c>
      <c r="O612" s="4" t="n">
        <v>30.57</v>
      </c>
      <c r="P612" s="5" t="n">
        <v>5</v>
      </c>
      <c r="Q612" s="2" t="n">
        <v>0</v>
      </c>
      <c r="R612" s="4" t="n">
        <f aca="false">M612*O612</f>
        <v>13664.79</v>
      </c>
      <c r="S612" s="4" t="n">
        <f aca="false">R612*(P612/100)</f>
        <v>683.2395</v>
      </c>
      <c r="T612" s="4" t="n">
        <f aca="false">R612-S612</f>
        <v>12981.5505</v>
      </c>
    </row>
    <row r="613" customFormat="false" ht="15" hidden="false" customHeight="false" outlineLevel="0" collapsed="false">
      <c r="A613" s="2" t="n">
        <v>800612</v>
      </c>
      <c r="B613" s="2" t="s">
        <v>259</v>
      </c>
      <c r="C613" s="2" t="s">
        <v>21</v>
      </c>
      <c r="D613" s="2" t="s">
        <v>171</v>
      </c>
      <c r="E613" s="2" t="s">
        <v>172</v>
      </c>
      <c r="F613" s="2" t="s">
        <v>51</v>
      </c>
      <c r="G613" s="2" t="s">
        <v>52</v>
      </c>
      <c r="H613" s="2" t="s">
        <v>26</v>
      </c>
      <c r="I613" s="2" t="s">
        <v>27</v>
      </c>
      <c r="J613" s="2" t="s">
        <v>98</v>
      </c>
      <c r="K613" s="2" t="s">
        <v>46</v>
      </c>
      <c r="L613" s="2" t="s">
        <v>47</v>
      </c>
      <c r="M613" s="2" t="n">
        <v>474</v>
      </c>
      <c r="N613" s="3" t="n">
        <v>99</v>
      </c>
      <c r="O613" s="4" t="n">
        <v>88.71</v>
      </c>
      <c r="P613" s="5" t="n">
        <v>5</v>
      </c>
      <c r="Q613" s="2" t="n">
        <v>0</v>
      </c>
      <c r="R613" s="4" t="n">
        <f aca="false">M613*O613</f>
        <v>42048.54</v>
      </c>
      <c r="S613" s="4" t="n">
        <f aca="false">R613*(P613/100)</f>
        <v>2102.427</v>
      </c>
      <c r="T613" s="4" t="n">
        <f aca="false">R613-S613</f>
        <v>39946.113</v>
      </c>
    </row>
    <row r="614" customFormat="false" ht="15" hidden="false" customHeight="false" outlineLevel="0" collapsed="false">
      <c r="A614" s="2" t="n">
        <v>800613</v>
      </c>
      <c r="B614" s="2" t="s">
        <v>436</v>
      </c>
      <c r="C614" s="2" t="s">
        <v>84</v>
      </c>
      <c r="D614" s="2" t="s">
        <v>128</v>
      </c>
      <c r="E614" s="2" t="s">
        <v>199</v>
      </c>
      <c r="F614" s="2" t="s">
        <v>24</v>
      </c>
      <c r="G614" s="2" t="s">
        <v>36</v>
      </c>
      <c r="H614" s="2" t="s">
        <v>26</v>
      </c>
      <c r="I614" s="2" t="s">
        <v>69</v>
      </c>
      <c r="J614" s="2" t="s">
        <v>114</v>
      </c>
      <c r="K614" s="2" t="s">
        <v>29</v>
      </c>
      <c r="L614" s="2" t="s">
        <v>60</v>
      </c>
      <c r="M614" s="2" t="n">
        <v>252</v>
      </c>
      <c r="N614" s="3" t="n">
        <v>20</v>
      </c>
      <c r="O614" s="4" t="n">
        <v>18.76</v>
      </c>
      <c r="P614" s="5" t="n">
        <v>5</v>
      </c>
      <c r="Q614" s="2" t="n">
        <v>0</v>
      </c>
      <c r="R614" s="4" t="n">
        <f aca="false">M614*O614</f>
        <v>4727.52</v>
      </c>
      <c r="S614" s="4" t="n">
        <f aca="false">R614*(P614/100)</f>
        <v>236.376</v>
      </c>
      <c r="T614" s="4" t="n">
        <f aca="false">R614-S614</f>
        <v>4491.144</v>
      </c>
    </row>
    <row r="615" customFormat="false" ht="15" hidden="false" customHeight="false" outlineLevel="0" collapsed="false">
      <c r="A615" s="2" t="n">
        <v>800614</v>
      </c>
      <c r="B615" s="2" t="s">
        <v>61</v>
      </c>
      <c r="C615" s="2" t="s">
        <v>21</v>
      </c>
      <c r="D615" s="2" t="s">
        <v>171</v>
      </c>
      <c r="E615" s="2" t="s">
        <v>192</v>
      </c>
      <c r="F615" s="2" t="s">
        <v>87</v>
      </c>
      <c r="G615" s="2" t="s">
        <v>125</v>
      </c>
      <c r="H615" s="2" t="s">
        <v>26</v>
      </c>
      <c r="I615" s="2" t="s">
        <v>37</v>
      </c>
      <c r="J615" s="2" t="s">
        <v>38</v>
      </c>
      <c r="K615" s="2" t="s">
        <v>39</v>
      </c>
      <c r="L615" s="2" t="s">
        <v>99</v>
      </c>
      <c r="M615" s="2" t="n">
        <v>461</v>
      </c>
      <c r="N615" s="3" t="n">
        <v>30</v>
      </c>
      <c r="O615" s="4" t="n">
        <v>25.7</v>
      </c>
      <c r="P615" s="5" t="n">
        <v>5</v>
      </c>
      <c r="Q615" s="2" t="n">
        <v>1</v>
      </c>
      <c r="R615" s="4" t="n">
        <f aca="false">M615*O615</f>
        <v>11847.7</v>
      </c>
      <c r="S615" s="4" t="n">
        <f aca="false">R615*(P615/100)</f>
        <v>592.385</v>
      </c>
      <c r="T615" s="4" t="n">
        <f aca="false">R615-S615</f>
        <v>11255.315</v>
      </c>
    </row>
    <row r="616" customFormat="false" ht="15" hidden="false" customHeight="false" outlineLevel="0" collapsed="false">
      <c r="A616" s="2" t="n">
        <v>800615</v>
      </c>
      <c r="B616" s="2" t="s">
        <v>283</v>
      </c>
      <c r="C616" s="2" t="s">
        <v>21</v>
      </c>
      <c r="D616" s="2" t="s">
        <v>171</v>
      </c>
      <c r="E616" s="2" t="s">
        <v>192</v>
      </c>
      <c r="F616" s="2" t="s">
        <v>78</v>
      </c>
      <c r="G616" s="2" t="s">
        <v>103</v>
      </c>
      <c r="H616" s="2" t="s">
        <v>26</v>
      </c>
      <c r="I616" s="2" t="s">
        <v>44</v>
      </c>
      <c r="J616" s="2" t="s">
        <v>45</v>
      </c>
      <c r="K616" s="2" t="s">
        <v>46</v>
      </c>
      <c r="L616" s="2" t="s">
        <v>99</v>
      </c>
      <c r="M616" s="2" t="n">
        <v>414</v>
      </c>
      <c r="N616" s="3" t="n">
        <v>20</v>
      </c>
      <c r="O616" s="4" t="n">
        <v>19.42</v>
      </c>
      <c r="P616" s="5" t="n">
        <v>0</v>
      </c>
      <c r="Q616" s="2" t="n">
        <v>0</v>
      </c>
      <c r="R616" s="4" t="n">
        <f aca="false">M616*O616</f>
        <v>8039.88</v>
      </c>
      <c r="S616" s="4" t="n">
        <f aca="false">R616*(P616/100)</f>
        <v>0</v>
      </c>
      <c r="T616" s="4" t="n">
        <f aca="false">R616-S616</f>
        <v>8039.88</v>
      </c>
    </row>
    <row r="617" customFormat="false" ht="15" hidden="false" customHeight="false" outlineLevel="0" collapsed="false">
      <c r="A617" s="2" t="n">
        <v>800616</v>
      </c>
      <c r="B617" s="2" t="s">
        <v>366</v>
      </c>
      <c r="C617" s="2" t="s">
        <v>32</v>
      </c>
      <c r="D617" s="2" t="s">
        <v>151</v>
      </c>
      <c r="E617" s="2" t="s">
        <v>152</v>
      </c>
      <c r="F617" s="2" t="s">
        <v>87</v>
      </c>
      <c r="G617" s="2" t="s">
        <v>62</v>
      </c>
      <c r="H617" s="2" t="s">
        <v>26</v>
      </c>
      <c r="I617" s="2" t="s">
        <v>27</v>
      </c>
      <c r="J617" s="2" t="s">
        <v>28</v>
      </c>
      <c r="K617" s="2" t="s">
        <v>29</v>
      </c>
      <c r="L617" s="2" t="s">
        <v>107</v>
      </c>
      <c r="M617" s="2" t="n">
        <v>271</v>
      </c>
      <c r="N617" s="3" t="n">
        <v>30</v>
      </c>
      <c r="O617" s="4" t="n">
        <v>28.86</v>
      </c>
      <c r="P617" s="5" t="n">
        <v>5</v>
      </c>
      <c r="Q617" s="2" t="n">
        <v>0</v>
      </c>
      <c r="R617" s="4" t="n">
        <f aca="false">M617*O617</f>
        <v>7821.06</v>
      </c>
      <c r="S617" s="4" t="n">
        <f aca="false">R617*(P617/100)</f>
        <v>391.053</v>
      </c>
      <c r="T617" s="4" t="n">
        <f aca="false">R617-S617</f>
        <v>7430.007</v>
      </c>
    </row>
    <row r="618" customFormat="false" ht="15" hidden="false" customHeight="false" outlineLevel="0" collapsed="false">
      <c r="A618" s="2" t="n">
        <v>800617</v>
      </c>
      <c r="B618" s="2" t="s">
        <v>437</v>
      </c>
      <c r="C618" s="2" t="s">
        <v>21</v>
      </c>
      <c r="D618" s="2" t="s">
        <v>147</v>
      </c>
      <c r="E618" s="2" t="s">
        <v>148</v>
      </c>
      <c r="F618" s="2" t="s">
        <v>24</v>
      </c>
      <c r="G618" s="2" t="s">
        <v>94</v>
      </c>
      <c r="H618" s="2" t="s">
        <v>26</v>
      </c>
      <c r="I618" s="2" t="s">
        <v>57</v>
      </c>
      <c r="J618" s="2" t="s">
        <v>58</v>
      </c>
      <c r="K618" s="2" t="s">
        <v>59</v>
      </c>
      <c r="L618" s="2" t="s">
        <v>60</v>
      </c>
      <c r="M618" s="2" t="n">
        <v>157</v>
      </c>
      <c r="N618" s="3" t="n">
        <v>20</v>
      </c>
      <c r="O618" s="4" t="n">
        <v>18.58</v>
      </c>
      <c r="P618" s="5" t="n">
        <v>10</v>
      </c>
      <c r="Q618" s="2" t="n">
        <v>0</v>
      </c>
      <c r="R618" s="4" t="n">
        <f aca="false">M618*O618</f>
        <v>2917.06</v>
      </c>
      <c r="S618" s="4" t="n">
        <f aca="false">R618*(P618/100)</f>
        <v>291.706</v>
      </c>
      <c r="T618" s="4" t="n">
        <f aca="false">R618-S618</f>
        <v>2625.354</v>
      </c>
    </row>
    <row r="619" customFormat="false" ht="15" hidden="false" customHeight="false" outlineLevel="0" collapsed="false">
      <c r="A619" s="2" t="n">
        <v>800618</v>
      </c>
      <c r="B619" s="2" t="s">
        <v>330</v>
      </c>
      <c r="C619" s="2" t="s">
        <v>84</v>
      </c>
      <c r="D619" s="2" t="s">
        <v>85</v>
      </c>
      <c r="E619" s="2" t="s">
        <v>124</v>
      </c>
      <c r="F619" s="2" t="s">
        <v>51</v>
      </c>
      <c r="G619" s="2" t="s">
        <v>52</v>
      </c>
      <c r="H619" s="2" t="s">
        <v>26</v>
      </c>
      <c r="I619" s="2" t="s">
        <v>69</v>
      </c>
      <c r="J619" s="2" t="s">
        <v>81</v>
      </c>
      <c r="K619" s="2" t="s">
        <v>71</v>
      </c>
      <c r="L619" s="2" t="s">
        <v>60</v>
      </c>
      <c r="M619" s="2" t="n">
        <v>366</v>
      </c>
      <c r="N619" s="3" t="n">
        <v>40</v>
      </c>
      <c r="O619" s="4" t="n">
        <v>35.26</v>
      </c>
      <c r="P619" s="5" t="n">
        <v>0</v>
      </c>
      <c r="Q619" s="2" t="n">
        <v>2</v>
      </c>
      <c r="R619" s="4" t="n">
        <f aca="false">M619*O619</f>
        <v>12905.16</v>
      </c>
      <c r="S619" s="4" t="n">
        <f aca="false">R619*(P619/100)</f>
        <v>0</v>
      </c>
      <c r="T619" s="4" t="n">
        <f aca="false">R619-S619</f>
        <v>12905.16</v>
      </c>
    </row>
    <row r="620" customFormat="false" ht="15" hidden="false" customHeight="false" outlineLevel="0" collapsed="false">
      <c r="A620" s="2" t="n">
        <v>800619</v>
      </c>
      <c r="B620" s="2" t="s">
        <v>182</v>
      </c>
      <c r="C620" s="2" t="s">
        <v>21</v>
      </c>
      <c r="D620" s="2" t="s">
        <v>147</v>
      </c>
      <c r="E620" s="2" t="s">
        <v>276</v>
      </c>
      <c r="F620" s="2" t="s">
        <v>51</v>
      </c>
      <c r="G620" s="2" t="s">
        <v>52</v>
      </c>
      <c r="H620" s="2" t="s">
        <v>26</v>
      </c>
      <c r="I620" s="2" t="s">
        <v>57</v>
      </c>
      <c r="J620" s="2" t="s">
        <v>58</v>
      </c>
      <c r="K620" s="2" t="s">
        <v>59</v>
      </c>
      <c r="L620" s="2" t="s">
        <v>64</v>
      </c>
      <c r="M620" s="2" t="n">
        <v>85</v>
      </c>
      <c r="N620" s="3" t="n">
        <v>20</v>
      </c>
      <c r="O620" s="4" t="n">
        <v>18.92</v>
      </c>
      <c r="P620" s="5" t="n">
        <v>5</v>
      </c>
      <c r="Q620" s="2" t="n">
        <v>0</v>
      </c>
      <c r="R620" s="4" t="n">
        <f aca="false">M620*O620</f>
        <v>1608.2</v>
      </c>
      <c r="S620" s="4" t="n">
        <f aca="false">R620*(P620/100)</f>
        <v>80.41</v>
      </c>
      <c r="T620" s="4" t="n">
        <f aca="false">R620-S620</f>
        <v>1527.79</v>
      </c>
    </row>
    <row r="621" customFormat="false" ht="15" hidden="false" customHeight="false" outlineLevel="0" collapsed="false">
      <c r="A621" s="2" t="n">
        <v>800620</v>
      </c>
      <c r="B621" s="2" t="s">
        <v>277</v>
      </c>
      <c r="C621" s="2" t="s">
        <v>41</v>
      </c>
      <c r="D621" s="2" t="s">
        <v>42</v>
      </c>
      <c r="E621" s="2" t="s">
        <v>179</v>
      </c>
      <c r="F621" s="2" t="s">
        <v>78</v>
      </c>
      <c r="G621" s="2" t="s">
        <v>90</v>
      </c>
      <c r="H621" s="2" t="s">
        <v>26</v>
      </c>
      <c r="I621" s="2" t="s">
        <v>69</v>
      </c>
      <c r="J621" s="2" t="s">
        <v>134</v>
      </c>
      <c r="K621" s="2" t="s">
        <v>39</v>
      </c>
      <c r="L621" s="2" t="s">
        <v>30</v>
      </c>
      <c r="M621" s="2" t="n">
        <v>75</v>
      </c>
      <c r="N621" s="3" t="n">
        <v>20</v>
      </c>
      <c r="O621" s="4" t="n">
        <v>18.43</v>
      </c>
      <c r="P621" s="5" t="n">
        <v>10</v>
      </c>
      <c r="Q621" s="2" t="n">
        <v>0</v>
      </c>
      <c r="R621" s="4" t="n">
        <f aca="false">M621*O621</f>
        <v>1382.25</v>
      </c>
      <c r="S621" s="4" t="n">
        <f aca="false">R621*(P621/100)</f>
        <v>138.225</v>
      </c>
      <c r="T621" s="4" t="n">
        <f aca="false">R621-S621</f>
        <v>1244.025</v>
      </c>
    </row>
    <row r="622" customFormat="false" ht="15" hidden="false" customHeight="false" outlineLevel="0" collapsed="false">
      <c r="A622" s="2" t="n">
        <v>800621</v>
      </c>
      <c r="B622" s="2" t="s">
        <v>259</v>
      </c>
      <c r="C622" s="2" t="s">
        <v>84</v>
      </c>
      <c r="D622" s="2" t="s">
        <v>119</v>
      </c>
      <c r="E622" s="2" t="s">
        <v>201</v>
      </c>
      <c r="F622" s="2" t="s">
        <v>35</v>
      </c>
      <c r="G622" s="2" t="s">
        <v>52</v>
      </c>
      <c r="H622" s="2" t="s">
        <v>26</v>
      </c>
      <c r="I622" s="2" t="s">
        <v>37</v>
      </c>
      <c r="J622" s="2" t="s">
        <v>38</v>
      </c>
      <c r="K622" s="2" t="s">
        <v>39</v>
      </c>
      <c r="L622" s="2" t="s">
        <v>47</v>
      </c>
      <c r="M622" s="2" t="n">
        <v>399</v>
      </c>
      <c r="N622" s="3" t="n">
        <v>30</v>
      </c>
      <c r="O622" s="4" t="n">
        <v>28.28</v>
      </c>
      <c r="P622" s="5" t="n">
        <v>0</v>
      </c>
      <c r="Q622" s="2" t="n">
        <v>0</v>
      </c>
      <c r="R622" s="4" t="n">
        <f aca="false">M622*O622</f>
        <v>11283.72</v>
      </c>
      <c r="S622" s="4" t="n">
        <f aca="false">R622*(P622/100)</f>
        <v>0</v>
      </c>
      <c r="T622" s="4" t="n">
        <f aca="false">R622-S622</f>
        <v>11283.72</v>
      </c>
    </row>
    <row r="623" customFormat="false" ht="15" hidden="false" customHeight="false" outlineLevel="0" collapsed="false">
      <c r="A623" s="2" t="n">
        <v>800622</v>
      </c>
      <c r="B623" s="2" t="s">
        <v>438</v>
      </c>
      <c r="C623" s="2" t="s">
        <v>21</v>
      </c>
      <c r="D623" s="2" t="s">
        <v>22</v>
      </c>
      <c r="E623" s="2" t="s">
        <v>23</v>
      </c>
      <c r="F623" s="2" t="s">
        <v>87</v>
      </c>
      <c r="G623" s="2" t="s">
        <v>137</v>
      </c>
      <c r="H623" s="2" t="s">
        <v>26</v>
      </c>
      <c r="I623" s="2" t="s">
        <v>37</v>
      </c>
      <c r="J623" s="2" t="s">
        <v>38</v>
      </c>
      <c r="K623" s="2" t="s">
        <v>39</v>
      </c>
      <c r="L623" s="2" t="s">
        <v>60</v>
      </c>
      <c r="M623" s="2" t="n">
        <v>339</v>
      </c>
      <c r="N623" s="3" t="n">
        <v>30</v>
      </c>
      <c r="O623" s="4" t="n">
        <v>28.89</v>
      </c>
      <c r="P623" s="5" t="n">
        <v>7.5</v>
      </c>
      <c r="Q623" s="2" t="n">
        <v>0</v>
      </c>
      <c r="R623" s="4" t="n">
        <f aca="false">M623*O623</f>
        <v>9793.71</v>
      </c>
      <c r="S623" s="4" t="n">
        <f aca="false">R623*(P623/100)</f>
        <v>734.52825</v>
      </c>
      <c r="T623" s="4" t="n">
        <f aca="false">R623-S623</f>
        <v>9059.18175</v>
      </c>
    </row>
    <row r="624" customFormat="false" ht="15" hidden="false" customHeight="false" outlineLevel="0" collapsed="false">
      <c r="A624" s="2" t="n">
        <v>800623</v>
      </c>
      <c r="B624" s="2" t="s">
        <v>439</v>
      </c>
      <c r="C624" s="2" t="s">
        <v>32</v>
      </c>
      <c r="D624" s="2" t="s">
        <v>66</v>
      </c>
      <c r="E624" s="2" t="s">
        <v>67</v>
      </c>
      <c r="F624" s="2" t="s">
        <v>78</v>
      </c>
      <c r="G624" s="2" t="s">
        <v>103</v>
      </c>
      <c r="H624" s="2" t="s">
        <v>26</v>
      </c>
      <c r="I624" s="2" t="s">
        <v>37</v>
      </c>
      <c r="J624" s="2" t="s">
        <v>38</v>
      </c>
      <c r="K624" s="2" t="s">
        <v>39</v>
      </c>
      <c r="L624" s="2" t="s">
        <v>132</v>
      </c>
      <c r="M624" s="2" t="n">
        <v>222</v>
      </c>
      <c r="N624" s="3" t="n">
        <v>30</v>
      </c>
      <c r="O624" s="4" t="n">
        <v>25.99</v>
      </c>
      <c r="P624" s="5" t="n">
        <v>0</v>
      </c>
      <c r="Q624" s="2" t="n">
        <v>2</v>
      </c>
      <c r="R624" s="4" t="n">
        <f aca="false">M624*O624</f>
        <v>5769.78</v>
      </c>
      <c r="S624" s="4" t="n">
        <f aca="false">R624*(P624/100)</f>
        <v>0</v>
      </c>
      <c r="T624" s="4" t="n">
        <f aca="false">R624-S624</f>
        <v>5769.78</v>
      </c>
    </row>
    <row r="625" customFormat="false" ht="15" hidden="false" customHeight="false" outlineLevel="0" collapsed="false">
      <c r="A625" s="2" t="n">
        <v>800624</v>
      </c>
      <c r="B625" s="2" t="s">
        <v>390</v>
      </c>
      <c r="C625" s="2" t="s">
        <v>41</v>
      </c>
      <c r="D625" s="2" t="s">
        <v>49</v>
      </c>
      <c r="E625" s="2" t="s">
        <v>80</v>
      </c>
      <c r="F625" s="2" t="s">
        <v>87</v>
      </c>
      <c r="G625" s="2" t="s">
        <v>143</v>
      </c>
      <c r="H625" s="2" t="s">
        <v>26</v>
      </c>
      <c r="I625" s="2" t="s">
        <v>37</v>
      </c>
      <c r="J625" s="2" t="s">
        <v>38</v>
      </c>
      <c r="K625" s="2" t="s">
        <v>39</v>
      </c>
      <c r="L625" s="2" t="s">
        <v>161</v>
      </c>
      <c r="M625" s="2" t="n">
        <v>431</v>
      </c>
      <c r="N625" s="3" t="n">
        <v>30</v>
      </c>
      <c r="O625" s="4" t="n">
        <v>26.77</v>
      </c>
      <c r="P625" s="5" t="n">
        <v>0</v>
      </c>
      <c r="Q625" s="2" t="n">
        <v>0</v>
      </c>
      <c r="R625" s="4" t="n">
        <f aca="false">M625*O625</f>
        <v>11537.87</v>
      </c>
      <c r="S625" s="4" t="n">
        <f aca="false">R625*(P625/100)</f>
        <v>0</v>
      </c>
      <c r="T625" s="4" t="n">
        <f aca="false">R625-S625</f>
        <v>11537.87</v>
      </c>
    </row>
    <row r="626" customFormat="false" ht="15" hidden="false" customHeight="false" outlineLevel="0" collapsed="false">
      <c r="A626" s="2" t="n">
        <v>800625</v>
      </c>
      <c r="B626" s="2" t="s">
        <v>419</v>
      </c>
      <c r="C626" s="2" t="s">
        <v>32</v>
      </c>
      <c r="D626" s="2" t="s">
        <v>66</v>
      </c>
      <c r="E626" s="2" t="s">
        <v>113</v>
      </c>
      <c r="F626" s="2" t="s">
        <v>24</v>
      </c>
      <c r="G626" s="2" t="s">
        <v>36</v>
      </c>
      <c r="H626" s="2" t="s">
        <v>26</v>
      </c>
      <c r="I626" s="2" t="s">
        <v>27</v>
      </c>
      <c r="J626" s="2" t="s">
        <v>98</v>
      </c>
      <c r="K626" s="2" t="s">
        <v>46</v>
      </c>
      <c r="L626" s="2" t="s">
        <v>64</v>
      </c>
      <c r="M626" s="2" t="n">
        <v>352</v>
      </c>
      <c r="N626" s="3" t="n">
        <v>99</v>
      </c>
      <c r="O626" s="4" t="n">
        <v>87.5</v>
      </c>
      <c r="P626" s="5" t="n">
        <v>2</v>
      </c>
      <c r="Q626" s="2" t="n">
        <v>0</v>
      </c>
      <c r="R626" s="4" t="n">
        <f aca="false">M626*O626</f>
        <v>30800</v>
      </c>
      <c r="S626" s="4" t="n">
        <f aca="false">R626*(P626/100)</f>
        <v>616</v>
      </c>
      <c r="T626" s="4" t="n">
        <f aca="false">R626-S626</f>
        <v>30184</v>
      </c>
    </row>
    <row r="627" customFormat="false" ht="15" hidden="false" customHeight="false" outlineLevel="0" collapsed="false">
      <c r="A627" s="2" t="n">
        <v>800626</v>
      </c>
      <c r="B627" s="2" t="s">
        <v>376</v>
      </c>
      <c r="C627" s="2" t="s">
        <v>41</v>
      </c>
      <c r="D627" s="2" t="s">
        <v>73</v>
      </c>
      <c r="E627" s="2" t="s">
        <v>74</v>
      </c>
      <c r="F627" s="2" t="s">
        <v>51</v>
      </c>
      <c r="G627" s="2" t="s">
        <v>36</v>
      </c>
      <c r="H627" s="2" t="s">
        <v>26</v>
      </c>
      <c r="I627" s="2" t="s">
        <v>69</v>
      </c>
      <c r="J627" s="2" t="s">
        <v>70</v>
      </c>
      <c r="K627" s="2" t="s">
        <v>39</v>
      </c>
      <c r="L627" s="2" t="s">
        <v>64</v>
      </c>
      <c r="M627" s="2" t="n">
        <v>398</v>
      </c>
      <c r="N627" s="3" t="n">
        <v>20</v>
      </c>
      <c r="O627" s="4" t="n">
        <v>18.97</v>
      </c>
      <c r="P627" s="5" t="n">
        <v>12.5</v>
      </c>
      <c r="Q627" s="2" t="n">
        <v>2</v>
      </c>
      <c r="R627" s="4" t="n">
        <f aca="false">M627*O627</f>
        <v>7550.06</v>
      </c>
      <c r="S627" s="4" t="n">
        <f aca="false">R627*(P627/100)</f>
        <v>943.7575</v>
      </c>
      <c r="T627" s="4" t="n">
        <f aca="false">R627-S627</f>
        <v>6606.3025</v>
      </c>
    </row>
    <row r="628" customFormat="false" ht="15" hidden="false" customHeight="false" outlineLevel="0" collapsed="false">
      <c r="A628" s="2" t="n">
        <v>800627</v>
      </c>
      <c r="B628" s="2" t="s">
        <v>432</v>
      </c>
      <c r="C628" s="2" t="s">
        <v>41</v>
      </c>
      <c r="D628" s="2" t="s">
        <v>49</v>
      </c>
      <c r="E628" s="2" t="s">
        <v>50</v>
      </c>
      <c r="F628" s="2" t="s">
        <v>24</v>
      </c>
      <c r="G628" s="2" t="s">
        <v>68</v>
      </c>
      <c r="H628" s="2" t="s">
        <v>26</v>
      </c>
      <c r="I628" s="2" t="s">
        <v>37</v>
      </c>
      <c r="J628" s="2" t="s">
        <v>38</v>
      </c>
      <c r="K628" s="2" t="s">
        <v>39</v>
      </c>
      <c r="L628" s="2" t="s">
        <v>132</v>
      </c>
      <c r="M628" s="2" t="n">
        <v>190</v>
      </c>
      <c r="N628" s="3" t="n">
        <v>30</v>
      </c>
      <c r="O628" s="4" t="n">
        <v>25.53</v>
      </c>
      <c r="P628" s="5" t="n">
        <v>10</v>
      </c>
      <c r="Q628" s="2" t="n">
        <v>1</v>
      </c>
      <c r="R628" s="4" t="n">
        <f aca="false">M628*O628</f>
        <v>4850.7</v>
      </c>
      <c r="S628" s="4" t="n">
        <f aca="false">R628*(P628/100)</f>
        <v>485.07</v>
      </c>
      <c r="T628" s="4" t="n">
        <f aca="false">R628-S628</f>
        <v>4365.63</v>
      </c>
    </row>
    <row r="629" customFormat="false" ht="15" hidden="false" customHeight="false" outlineLevel="0" collapsed="false">
      <c r="A629" s="2" t="n">
        <v>800628</v>
      </c>
      <c r="B629" s="2" t="s">
        <v>346</v>
      </c>
      <c r="C629" s="2" t="s">
        <v>84</v>
      </c>
      <c r="D629" s="2" t="s">
        <v>128</v>
      </c>
      <c r="E629" s="2" t="s">
        <v>199</v>
      </c>
      <c r="F629" s="2" t="s">
        <v>51</v>
      </c>
      <c r="G629" s="2" t="s">
        <v>94</v>
      </c>
      <c r="H629" s="2" t="s">
        <v>26</v>
      </c>
      <c r="I629" s="2" t="s">
        <v>37</v>
      </c>
      <c r="J629" s="2" t="s">
        <v>38</v>
      </c>
      <c r="K629" s="2" t="s">
        <v>39</v>
      </c>
      <c r="L629" s="2" t="s">
        <v>99</v>
      </c>
      <c r="M629" s="2" t="n">
        <v>385</v>
      </c>
      <c r="N629" s="3" t="n">
        <v>30</v>
      </c>
      <c r="O629" s="4" t="n">
        <v>25.75</v>
      </c>
      <c r="P629" s="5" t="n">
        <v>0</v>
      </c>
      <c r="Q629" s="2" t="n">
        <v>1</v>
      </c>
      <c r="R629" s="4" t="n">
        <f aca="false">M629*O629</f>
        <v>9913.75</v>
      </c>
      <c r="S629" s="4" t="n">
        <f aca="false">R629*(P629/100)</f>
        <v>0</v>
      </c>
      <c r="T629" s="4" t="n">
        <f aca="false">R629-S629</f>
        <v>9913.75</v>
      </c>
    </row>
    <row r="630" customFormat="false" ht="15" hidden="false" customHeight="false" outlineLevel="0" collapsed="false">
      <c r="A630" s="2" t="n">
        <v>800629</v>
      </c>
      <c r="B630" s="2" t="s">
        <v>376</v>
      </c>
      <c r="C630" s="2" t="s">
        <v>84</v>
      </c>
      <c r="D630" s="2" t="s">
        <v>128</v>
      </c>
      <c r="E630" s="2" t="s">
        <v>199</v>
      </c>
      <c r="F630" s="2" t="s">
        <v>51</v>
      </c>
      <c r="G630" s="2" t="s">
        <v>94</v>
      </c>
      <c r="H630" s="2" t="s">
        <v>26</v>
      </c>
      <c r="I630" s="2" t="s">
        <v>69</v>
      </c>
      <c r="J630" s="2" t="s">
        <v>114</v>
      </c>
      <c r="K630" s="2" t="s">
        <v>29</v>
      </c>
      <c r="L630" s="2" t="s">
        <v>53</v>
      </c>
      <c r="M630" s="2" t="n">
        <v>500</v>
      </c>
      <c r="N630" s="3" t="n">
        <v>20</v>
      </c>
      <c r="O630" s="4" t="n">
        <v>18.81</v>
      </c>
      <c r="P630" s="5" t="n">
        <v>12.5</v>
      </c>
      <c r="Q630" s="2" t="n">
        <v>1</v>
      </c>
      <c r="R630" s="4" t="n">
        <f aca="false">M630*O630</f>
        <v>9405</v>
      </c>
      <c r="S630" s="4" t="n">
        <f aca="false">R630*(P630/100)</f>
        <v>1175.625</v>
      </c>
      <c r="T630" s="4" t="n">
        <f aca="false">R630-S630</f>
        <v>8229.375</v>
      </c>
    </row>
    <row r="631" customFormat="false" ht="15" hidden="false" customHeight="false" outlineLevel="0" collapsed="false">
      <c r="A631" s="2" t="n">
        <v>800630</v>
      </c>
      <c r="B631" s="2" t="s">
        <v>410</v>
      </c>
      <c r="C631" s="2" t="s">
        <v>32</v>
      </c>
      <c r="D631" s="2" t="s">
        <v>55</v>
      </c>
      <c r="E631" s="2" t="s">
        <v>56</v>
      </c>
      <c r="F631" s="2" t="s">
        <v>51</v>
      </c>
      <c r="G631" s="2" t="s">
        <v>137</v>
      </c>
      <c r="H631" s="2" t="s">
        <v>26</v>
      </c>
      <c r="I631" s="2" t="s">
        <v>57</v>
      </c>
      <c r="J631" s="2" t="s">
        <v>104</v>
      </c>
      <c r="K631" s="2" t="s">
        <v>59</v>
      </c>
      <c r="L631" s="2" t="s">
        <v>30</v>
      </c>
      <c r="M631" s="2" t="n">
        <v>132</v>
      </c>
      <c r="N631" s="3" t="n">
        <v>25</v>
      </c>
      <c r="O631" s="4" t="n">
        <v>23.31</v>
      </c>
      <c r="P631" s="5" t="n">
        <v>7.5</v>
      </c>
      <c r="Q631" s="2" t="n">
        <v>2</v>
      </c>
      <c r="R631" s="4" t="n">
        <f aca="false">M631*O631</f>
        <v>3076.92</v>
      </c>
      <c r="S631" s="4" t="n">
        <f aca="false">R631*(P631/100)</f>
        <v>230.769</v>
      </c>
      <c r="T631" s="4" t="n">
        <f aca="false">R631-S631</f>
        <v>2846.151</v>
      </c>
    </row>
    <row r="632" customFormat="false" ht="15" hidden="false" customHeight="false" outlineLevel="0" collapsed="false">
      <c r="A632" s="2" t="n">
        <v>800631</v>
      </c>
      <c r="B632" s="2" t="s">
        <v>328</v>
      </c>
      <c r="C632" s="2" t="s">
        <v>84</v>
      </c>
      <c r="D632" s="2" t="s">
        <v>164</v>
      </c>
      <c r="E632" s="2" t="s">
        <v>165</v>
      </c>
      <c r="F632" s="2" t="s">
        <v>87</v>
      </c>
      <c r="G632" s="2" t="s">
        <v>94</v>
      </c>
      <c r="H632" s="2" t="s">
        <v>26</v>
      </c>
      <c r="I632" s="2" t="s">
        <v>27</v>
      </c>
      <c r="J632" s="2" t="s">
        <v>28</v>
      </c>
      <c r="K632" s="2" t="s">
        <v>63</v>
      </c>
      <c r="L632" s="2" t="s">
        <v>107</v>
      </c>
      <c r="M632" s="2" t="n">
        <v>373</v>
      </c>
      <c r="N632" s="3" t="n">
        <v>50</v>
      </c>
      <c r="O632" s="4" t="n">
        <v>47.74</v>
      </c>
      <c r="P632" s="5" t="n">
        <v>12.5</v>
      </c>
      <c r="Q632" s="2" t="n">
        <v>0</v>
      </c>
      <c r="R632" s="4" t="n">
        <f aca="false">M632*O632</f>
        <v>17807.02</v>
      </c>
      <c r="S632" s="4" t="n">
        <f aca="false">R632*(P632/100)</f>
        <v>2225.8775</v>
      </c>
      <c r="T632" s="4" t="n">
        <f aca="false">R632-S632</f>
        <v>15581.1425</v>
      </c>
    </row>
    <row r="633" customFormat="false" ht="15" hidden="false" customHeight="false" outlineLevel="0" collapsed="false">
      <c r="A633" s="2" t="n">
        <v>800632</v>
      </c>
      <c r="B633" s="2" t="s">
        <v>366</v>
      </c>
      <c r="C633" s="2" t="s">
        <v>32</v>
      </c>
      <c r="D633" s="2" t="s">
        <v>33</v>
      </c>
      <c r="E633" s="2" t="s">
        <v>34</v>
      </c>
      <c r="F633" s="2" t="s">
        <v>51</v>
      </c>
      <c r="G633" s="2" t="s">
        <v>52</v>
      </c>
      <c r="H633" s="2" t="s">
        <v>26</v>
      </c>
      <c r="I633" s="2" t="s">
        <v>57</v>
      </c>
      <c r="J633" s="2" t="s">
        <v>58</v>
      </c>
      <c r="K633" s="2" t="s">
        <v>59</v>
      </c>
      <c r="L633" s="2" t="s">
        <v>107</v>
      </c>
      <c r="M633" s="2" t="n">
        <v>140</v>
      </c>
      <c r="N633" s="3" t="n">
        <v>20</v>
      </c>
      <c r="O633" s="4" t="n">
        <v>17.59</v>
      </c>
      <c r="P633" s="5" t="n">
        <v>0</v>
      </c>
      <c r="Q633" s="2" t="n">
        <v>0</v>
      </c>
      <c r="R633" s="4" t="n">
        <f aca="false">M633*O633</f>
        <v>2462.6</v>
      </c>
      <c r="S633" s="4" t="n">
        <f aca="false">R633*(P633/100)</f>
        <v>0</v>
      </c>
      <c r="T633" s="4" t="n">
        <f aca="false">R633-S633</f>
        <v>2462.6</v>
      </c>
    </row>
    <row r="634" customFormat="false" ht="15" hidden="false" customHeight="false" outlineLevel="0" collapsed="false">
      <c r="A634" s="2" t="n">
        <v>800633</v>
      </c>
      <c r="B634" s="2" t="s">
        <v>388</v>
      </c>
      <c r="C634" s="2" t="s">
        <v>84</v>
      </c>
      <c r="D634" s="2" t="s">
        <v>119</v>
      </c>
      <c r="E634" s="2" t="s">
        <v>120</v>
      </c>
      <c r="F634" s="2" t="s">
        <v>24</v>
      </c>
      <c r="G634" s="2" t="s">
        <v>90</v>
      </c>
      <c r="H634" s="2" t="s">
        <v>26</v>
      </c>
      <c r="I634" s="2" t="s">
        <v>69</v>
      </c>
      <c r="J634" s="2" t="s">
        <v>134</v>
      </c>
      <c r="K634" s="2" t="s">
        <v>71</v>
      </c>
      <c r="L634" s="2" t="s">
        <v>82</v>
      </c>
      <c r="M634" s="2" t="n">
        <v>240</v>
      </c>
      <c r="N634" s="3" t="n">
        <v>40</v>
      </c>
      <c r="O634" s="4" t="n">
        <v>34.64</v>
      </c>
      <c r="P634" s="5" t="n">
        <v>2</v>
      </c>
      <c r="Q634" s="2" t="n">
        <v>0</v>
      </c>
      <c r="R634" s="4" t="n">
        <f aca="false">M634*O634</f>
        <v>8313.6</v>
      </c>
      <c r="S634" s="4" t="n">
        <f aca="false">R634*(P634/100)</f>
        <v>166.272</v>
      </c>
      <c r="T634" s="4" t="n">
        <f aca="false">R634-S634</f>
        <v>8147.328</v>
      </c>
    </row>
    <row r="635" customFormat="false" ht="15" hidden="false" customHeight="false" outlineLevel="0" collapsed="false">
      <c r="A635" s="2" t="n">
        <v>800634</v>
      </c>
      <c r="B635" s="2" t="s">
        <v>370</v>
      </c>
      <c r="C635" s="2" t="s">
        <v>32</v>
      </c>
      <c r="D635" s="2" t="s">
        <v>151</v>
      </c>
      <c r="E635" s="2" t="s">
        <v>152</v>
      </c>
      <c r="F635" s="2" t="s">
        <v>87</v>
      </c>
      <c r="G635" s="2" t="s">
        <v>137</v>
      </c>
      <c r="H635" s="2" t="s">
        <v>26</v>
      </c>
      <c r="I635" s="2" t="s">
        <v>69</v>
      </c>
      <c r="J635" s="2" t="s">
        <v>81</v>
      </c>
      <c r="K635" s="2" t="s">
        <v>39</v>
      </c>
      <c r="L635" s="2" t="s">
        <v>64</v>
      </c>
      <c r="M635" s="2" t="n">
        <v>456</v>
      </c>
      <c r="N635" s="3" t="n">
        <v>20</v>
      </c>
      <c r="O635" s="4" t="n">
        <v>18.93</v>
      </c>
      <c r="P635" s="5" t="n">
        <v>0</v>
      </c>
      <c r="Q635" s="2" t="n">
        <v>0</v>
      </c>
      <c r="R635" s="4" t="n">
        <f aca="false">M635*O635</f>
        <v>8632.08</v>
      </c>
      <c r="S635" s="4" t="n">
        <f aca="false">R635*(P635/100)</f>
        <v>0</v>
      </c>
      <c r="T635" s="4" t="n">
        <f aca="false">R635-S635</f>
        <v>8632.08</v>
      </c>
    </row>
    <row r="636" customFormat="false" ht="15" hidden="false" customHeight="false" outlineLevel="0" collapsed="false">
      <c r="A636" s="2" t="n">
        <v>800635</v>
      </c>
      <c r="B636" s="2" t="s">
        <v>378</v>
      </c>
      <c r="C636" s="2" t="s">
        <v>41</v>
      </c>
      <c r="D636" s="2" t="s">
        <v>73</v>
      </c>
      <c r="E636" s="2" t="s">
        <v>136</v>
      </c>
      <c r="F636" s="2" t="s">
        <v>35</v>
      </c>
      <c r="G636" s="2" t="s">
        <v>143</v>
      </c>
      <c r="H636" s="2" t="s">
        <v>26</v>
      </c>
      <c r="I636" s="2" t="s">
        <v>69</v>
      </c>
      <c r="J636" s="2" t="s">
        <v>134</v>
      </c>
      <c r="K636" s="2" t="s">
        <v>39</v>
      </c>
      <c r="L636" s="2" t="s">
        <v>30</v>
      </c>
      <c r="M636" s="2" t="n">
        <v>73</v>
      </c>
      <c r="N636" s="3" t="n">
        <v>20</v>
      </c>
      <c r="O636" s="4" t="n">
        <v>17.47</v>
      </c>
      <c r="P636" s="5" t="n">
        <v>0</v>
      </c>
      <c r="Q636" s="2" t="n">
        <v>0</v>
      </c>
      <c r="R636" s="4" t="n">
        <f aca="false">M636*O636</f>
        <v>1275.31</v>
      </c>
      <c r="S636" s="4" t="n">
        <f aca="false">R636*(P636/100)</f>
        <v>0</v>
      </c>
      <c r="T636" s="4" t="n">
        <f aca="false">R636-S636</f>
        <v>1275.31</v>
      </c>
    </row>
    <row r="637" customFormat="false" ht="15" hidden="false" customHeight="false" outlineLevel="0" collapsed="false">
      <c r="A637" s="2" t="n">
        <v>800636</v>
      </c>
      <c r="B637" s="2" t="s">
        <v>370</v>
      </c>
      <c r="C637" s="2" t="s">
        <v>32</v>
      </c>
      <c r="D637" s="2" t="s">
        <v>55</v>
      </c>
      <c r="E637" s="2" t="s">
        <v>93</v>
      </c>
      <c r="F637" s="2" t="s">
        <v>35</v>
      </c>
      <c r="G637" s="2" t="s">
        <v>94</v>
      </c>
      <c r="H637" s="2" t="s">
        <v>26</v>
      </c>
      <c r="I637" s="2" t="s">
        <v>69</v>
      </c>
      <c r="J637" s="2" t="s">
        <v>70</v>
      </c>
      <c r="K637" s="2" t="s">
        <v>39</v>
      </c>
      <c r="L637" s="2" t="s">
        <v>82</v>
      </c>
      <c r="M637" s="2" t="n">
        <v>191</v>
      </c>
      <c r="N637" s="3" t="n">
        <v>20</v>
      </c>
      <c r="O637" s="4" t="n">
        <v>19.29</v>
      </c>
      <c r="P637" s="5" t="n">
        <v>0</v>
      </c>
      <c r="Q637" s="2" t="n">
        <v>0</v>
      </c>
      <c r="R637" s="4" t="n">
        <f aca="false">M637*O637</f>
        <v>3684.39</v>
      </c>
      <c r="S637" s="4" t="n">
        <f aca="false">R637*(P637/100)</f>
        <v>0</v>
      </c>
      <c r="T637" s="4" t="n">
        <f aca="false">R637-S637</f>
        <v>3684.39</v>
      </c>
    </row>
    <row r="638" customFormat="false" ht="15" hidden="false" customHeight="false" outlineLevel="0" collapsed="false">
      <c r="A638" s="2" t="n">
        <v>800637</v>
      </c>
      <c r="B638" s="2" t="s">
        <v>431</v>
      </c>
      <c r="C638" s="2" t="s">
        <v>41</v>
      </c>
      <c r="D638" s="2" t="s">
        <v>73</v>
      </c>
      <c r="E638" s="2" t="s">
        <v>136</v>
      </c>
      <c r="F638" s="2" t="s">
        <v>51</v>
      </c>
      <c r="G638" s="2" t="s">
        <v>137</v>
      </c>
      <c r="H638" s="2" t="s">
        <v>26</v>
      </c>
      <c r="I638" s="2" t="s">
        <v>44</v>
      </c>
      <c r="J638" s="2" t="s">
        <v>126</v>
      </c>
      <c r="K638" s="2" t="s">
        <v>71</v>
      </c>
      <c r="L638" s="2" t="s">
        <v>64</v>
      </c>
      <c r="M638" s="2" t="n">
        <v>63</v>
      </c>
      <c r="N638" s="3" t="n">
        <v>20</v>
      </c>
      <c r="O638" s="4" t="n">
        <v>17.74</v>
      </c>
      <c r="P638" s="5" t="n">
        <v>10</v>
      </c>
      <c r="Q638" s="2" t="n">
        <v>1</v>
      </c>
      <c r="R638" s="4" t="n">
        <f aca="false">M638*O638</f>
        <v>1117.62</v>
      </c>
      <c r="S638" s="4" t="n">
        <f aca="false">R638*(P638/100)</f>
        <v>111.762</v>
      </c>
      <c r="T638" s="4" t="n">
        <f aca="false">R638-S638</f>
        <v>1005.858</v>
      </c>
    </row>
    <row r="639" customFormat="false" ht="15" hidden="false" customHeight="false" outlineLevel="0" collapsed="false">
      <c r="A639" s="2" t="n">
        <v>800638</v>
      </c>
      <c r="B639" s="2" t="s">
        <v>310</v>
      </c>
      <c r="C639" s="2" t="s">
        <v>32</v>
      </c>
      <c r="D639" s="2" t="s">
        <v>33</v>
      </c>
      <c r="E639" s="2" t="s">
        <v>34</v>
      </c>
      <c r="F639" s="2" t="s">
        <v>51</v>
      </c>
      <c r="G639" s="2" t="s">
        <v>25</v>
      </c>
      <c r="H639" s="2" t="s">
        <v>26</v>
      </c>
      <c r="I639" s="2" t="s">
        <v>27</v>
      </c>
      <c r="J639" s="2" t="s">
        <v>98</v>
      </c>
      <c r="K639" s="2" t="s">
        <v>46</v>
      </c>
      <c r="L639" s="2" t="s">
        <v>161</v>
      </c>
      <c r="M639" s="2" t="n">
        <v>490</v>
      </c>
      <c r="N639" s="3" t="n">
        <v>99</v>
      </c>
      <c r="O639" s="4" t="n">
        <v>89.82</v>
      </c>
      <c r="P639" s="5" t="n">
        <v>12.5</v>
      </c>
      <c r="Q639" s="2" t="n">
        <v>3</v>
      </c>
      <c r="R639" s="4" t="n">
        <f aca="false">M639*O639</f>
        <v>44011.8</v>
      </c>
      <c r="S639" s="4" t="n">
        <f aca="false">R639*(P639/100)</f>
        <v>5501.475</v>
      </c>
      <c r="T639" s="4" t="n">
        <f aca="false">R639-S639</f>
        <v>38510.325</v>
      </c>
    </row>
    <row r="640" customFormat="false" ht="15" hidden="false" customHeight="false" outlineLevel="0" collapsed="false">
      <c r="A640" s="2" t="n">
        <v>800639</v>
      </c>
      <c r="B640" s="2" t="s">
        <v>429</v>
      </c>
      <c r="C640" s="2" t="s">
        <v>84</v>
      </c>
      <c r="D640" s="2" t="s">
        <v>128</v>
      </c>
      <c r="E640" s="2" t="s">
        <v>199</v>
      </c>
      <c r="F640" s="2" t="s">
        <v>24</v>
      </c>
      <c r="G640" s="2" t="s">
        <v>36</v>
      </c>
      <c r="H640" s="2" t="s">
        <v>26</v>
      </c>
      <c r="I640" s="2" t="s">
        <v>37</v>
      </c>
      <c r="J640" s="2" t="s">
        <v>38</v>
      </c>
      <c r="K640" s="2" t="s">
        <v>39</v>
      </c>
      <c r="L640" s="2" t="s">
        <v>47</v>
      </c>
      <c r="M640" s="2" t="n">
        <v>193</v>
      </c>
      <c r="N640" s="3" t="n">
        <v>30</v>
      </c>
      <c r="O640" s="4" t="n">
        <v>26.82</v>
      </c>
      <c r="P640" s="5" t="n">
        <v>0</v>
      </c>
      <c r="Q640" s="2" t="n">
        <v>1</v>
      </c>
      <c r="R640" s="4" t="n">
        <f aca="false">M640*O640</f>
        <v>5176.26</v>
      </c>
      <c r="S640" s="4" t="n">
        <f aca="false">R640*(P640/100)</f>
        <v>0</v>
      </c>
      <c r="T640" s="4" t="n">
        <f aca="false">R640-S640</f>
        <v>5176.26</v>
      </c>
    </row>
    <row r="641" customFormat="false" ht="15" hidden="false" customHeight="false" outlineLevel="0" collapsed="false">
      <c r="A641" s="2" t="n">
        <v>800640</v>
      </c>
      <c r="B641" s="2" t="s">
        <v>362</v>
      </c>
      <c r="C641" s="2" t="s">
        <v>41</v>
      </c>
      <c r="D641" s="2" t="s">
        <v>73</v>
      </c>
      <c r="E641" s="2" t="s">
        <v>167</v>
      </c>
      <c r="F641" s="2" t="s">
        <v>24</v>
      </c>
      <c r="G641" s="2" t="s">
        <v>143</v>
      </c>
      <c r="H641" s="2" t="s">
        <v>26</v>
      </c>
      <c r="I641" s="2" t="s">
        <v>69</v>
      </c>
      <c r="J641" s="2" t="s">
        <v>81</v>
      </c>
      <c r="K641" s="2" t="s">
        <v>39</v>
      </c>
      <c r="L641" s="2" t="s">
        <v>161</v>
      </c>
      <c r="M641" s="2" t="n">
        <v>225</v>
      </c>
      <c r="N641" s="3" t="n">
        <v>20</v>
      </c>
      <c r="O641" s="4" t="n">
        <v>19.48</v>
      </c>
      <c r="P641" s="5" t="n">
        <v>5</v>
      </c>
      <c r="Q641" s="2" t="n">
        <v>1</v>
      </c>
      <c r="R641" s="4" t="n">
        <f aca="false">M641*O641</f>
        <v>4383</v>
      </c>
      <c r="S641" s="4" t="n">
        <f aca="false">R641*(P641/100)</f>
        <v>219.15</v>
      </c>
      <c r="T641" s="4" t="n">
        <f aca="false">R641-S641</f>
        <v>4163.85</v>
      </c>
    </row>
    <row r="642" customFormat="false" ht="15" hidden="false" customHeight="false" outlineLevel="0" collapsed="false">
      <c r="A642" s="2" t="n">
        <v>800641</v>
      </c>
      <c r="B642" s="2" t="s">
        <v>209</v>
      </c>
      <c r="C642" s="2" t="s">
        <v>21</v>
      </c>
      <c r="D642" s="2" t="s">
        <v>147</v>
      </c>
      <c r="E642" s="2" t="s">
        <v>148</v>
      </c>
      <c r="F642" s="2" t="s">
        <v>35</v>
      </c>
      <c r="G642" s="2" t="s">
        <v>106</v>
      </c>
      <c r="H642" s="2" t="s">
        <v>26</v>
      </c>
      <c r="I642" s="2" t="s">
        <v>57</v>
      </c>
      <c r="J642" s="2" t="s">
        <v>58</v>
      </c>
      <c r="K642" s="2" t="s">
        <v>59</v>
      </c>
      <c r="L642" s="2" t="s">
        <v>99</v>
      </c>
      <c r="M642" s="2" t="n">
        <v>474</v>
      </c>
      <c r="N642" s="3" t="n">
        <v>20</v>
      </c>
      <c r="O642" s="4" t="n">
        <v>18.52</v>
      </c>
      <c r="P642" s="5" t="n">
        <v>12.5</v>
      </c>
      <c r="Q642" s="2" t="n">
        <v>1</v>
      </c>
      <c r="R642" s="4" t="n">
        <f aca="false">M642*O642</f>
        <v>8778.48</v>
      </c>
      <c r="S642" s="4" t="n">
        <f aca="false">R642*(P642/100)</f>
        <v>1097.31</v>
      </c>
      <c r="T642" s="4" t="n">
        <f aca="false">R642-S642</f>
        <v>7681.17</v>
      </c>
    </row>
    <row r="643" customFormat="false" ht="15" hidden="false" customHeight="false" outlineLevel="0" collapsed="false">
      <c r="A643" s="2" t="n">
        <v>800642</v>
      </c>
      <c r="B643" s="2" t="s">
        <v>415</v>
      </c>
      <c r="C643" s="2" t="s">
        <v>41</v>
      </c>
      <c r="D643" s="2" t="s">
        <v>73</v>
      </c>
      <c r="E643" s="2" t="s">
        <v>74</v>
      </c>
      <c r="F643" s="2" t="s">
        <v>78</v>
      </c>
      <c r="G643" s="2" t="s">
        <v>36</v>
      </c>
      <c r="H643" s="2" t="s">
        <v>26</v>
      </c>
      <c r="I643" s="2" t="s">
        <v>37</v>
      </c>
      <c r="J643" s="2" t="s">
        <v>38</v>
      </c>
      <c r="K643" s="2" t="s">
        <v>39</v>
      </c>
      <c r="L643" s="2" t="s">
        <v>161</v>
      </c>
      <c r="M643" s="2" t="n">
        <v>391</v>
      </c>
      <c r="N643" s="3" t="n">
        <v>30</v>
      </c>
      <c r="O643" s="4" t="n">
        <v>28.52</v>
      </c>
      <c r="P643" s="5" t="n">
        <v>0</v>
      </c>
      <c r="Q643" s="2" t="n">
        <v>3</v>
      </c>
      <c r="R643" s="4" t="n">
        <f aca="false">M643*O643</f>
        <v>11151.32</v>
      </c>
      <c r="S643" s="4" t="n">
        <f aca="false">R643*(P643/100)</f>
        <v>0</v>
      </c>
      <c r="T643" s="4" t="n">
        <f aca="false">R643-S643</f>
        <v>11151.32</v>
      </c>
    </row>
    <row r="644" customFormat="false" ht="15" hidden="false" customHeight="false" outlineLevel="0" collapsed="false">
      <c r="A644" s="2" t="n">
        <v>800643</v>
      </c>
      <c r="B644" s="2" t="s">
        <v>415</v>
      </c>
      <c r="C644" s="2" t="s">
        <v>84</v>
      </c>
      <c r="D644" s="2" t="s">
        <v>85</v>
      </c>
      <c r="E644" s="2" t="s">
        <v>86</v>
      </c>
      <c r="F644" s="2" t="s">
        <v>35</v>
      </c>
      <c r="G644" s="2" t="s">
        <v>90</v>
      </c>
      <c r="H644" s="2" t="s">
        <v>26</v>
      </c>
      <c r="I644" s="2" t="s">
        <v>44</v>
      </c>
      <c r="J644" s="2" t="s">
        <v>126</v>
      </c>
      <c r="K644" s="2" t="s">
        <v>71</v>
      </c>
      <c r="L644" s="2" t="s">
        <v>82</v>
      </c>
      <c r="M644" s="2" t="n">
        <v>407</v>
      </c>
      <c r="N644" s="3" t="n">
        <v>20</v>
      </c>
      <c r="O644" s="4" t="n">
        <v>18.78</v>
      </c>
      <c r="P644" s="5" t="n">
        <v>0</v>
      </c>
      <c r="Q644" s="2" t="n">
        <v>0</v>
      </c>
      <c r="R644" s="4" t="n">
        <f aca="false">M644*O644</f>
        <v>7643.46</v>
      </c>
      <c r="S644" s="4" t="n">
        <f aca="false">R644*(P644/100)</f>
        <v>0</v>
      </c>
      <c r="T644" s="4" t="n">
        <f aca="false">R644-S644</f>
        <v>7643.46</v>
      </c>
    </row>
    <row r="645" customFormat="false" ht="15" hidden="false" customHeight="false" outlineLevel="0" collapsed="false">
      <c r="A645" s="2" t="n">
        <v>800644</v>
      </c>
      <c r="B645" s="2" t="s">
        <v>440</v>
      </c>
      <c r="C645" s="2" t="s">
        <v>84</v>
      </c>
      <c r="D645" s="2" t="s">
        <v>85</v>
      </c>
      <c r="E645" s="2" t="s">
        <v>124</v>
      </c>
      <c r="F645" s="2" t="s">
        <v>51</v>
      </c>
      <c r="G645" s="2" t="s">
        <v>90</v>
      </c>
      <c r="H645" s="2" t="s">
        <v>26</v>
      </c>
      <c r="I645" s="2" t="s">
        <v>69</v>
      </c>
      <c r="J645" s="2" t="s">
        <v>134</v>
      </c>
      <c r="K645" s="2" t="s">
        <v>39</v>
      </c>
      <c r="L645" s="2" t="s">
        <v>82</v>
      </c>
      <c r="M645" s="2" t="n">
        <v>152</v>
      </c>
      <c r="N645" s="3" t="n">
        <v>20</v>
      </c>
      <c r="O645" s="4" t="n">
        <v>18.76</v>
      </c>
      <c r="P645" s="5" t="n">
        <v>7.5</v>
      </c>
      <c r="Q645" s="2" t="n">
        <v>0</v>
      </c>
      <c r="R645" s="4" t="n">
        <f aca="false">M645*O645</f>
        <v>2851.52</v>
      </c>
      <c r="S645" s="4" t="n">
        <f aca="false">R645*(P645/100)</f>
        <v>213.864</v>
      </c>
      <c r="T645" s="4" t="n">
        <f aca="false">R645-S645</f>
        <v>2637.656</v>
      </c>
    </row>
    <row r="646" customFormat="false" ht="15" hidden="false" customHeight="false" outlineLevel="0" collapsed="false">
      <c r="A646" s="2" t="n">
        <v>800645</v>
      </c>
      <c r="B646" s="2" t="s">
        <v>296</v>
      </c>
      <c r="C646" s="2" t="s">
        <v>21</v>
      </c>
      <c r="D646" s="2" t="s">
        <v>101</v>
      </c>
      <c r="E646" s="2" t="s">
        <v>102</v>
      </c>
      <c r="F646" s="2" t="s">
        <v>35</v>
      </c>
      <c r="G646" s="2" t="s">
        <v>125</v>
      </c>
      <c r="H646" s="2" t="s">
        <v>26</v>
      </c>
      <c r="I646" s="2" t="s">
        <v>69</v>
      </c>
      <c r="J646" s="2" t="s">
        <v>114</v>
      </c>
      <c r="K646" s="2" t="s">
        <v>29</v>
      </c>
      <c r="L646" s="2" t="s">
        <v>82</v>
      </c>
      <c r="M646" s="2" t="n">
        <v>140</v>
      </c>
      <c r="N646" s="3" t="n">
        <v>20</v>
      </c>
      <c r="O646" s="4" t="n">
        <v>19.26</v>
      </c>
      <c r="P646" s="5" t="n">
        <v>2</v>
      </c>
      <c r="Q646" s="2" t="n">
        <v>1</v>
      </c>
      <c r="R646" s="4" t="n">
        <f aca="false">M646*O646</f>
        <v>2696.4</v>
      </c>
      <c r="S646" s="4" t="n">
        <f aca="false">R646*(P646/100)</f>
        <v>53.928</v>
      </c>
      <c r="T646" s="4" t="n">
        <f aca="false">R646-S646</f>
        <v>2642.472</v>
      </c>
    </row>
    <row r="647" customFormat="false" ht="15" hidden="false" customHeight="false" outlineLevel="0" collapsed="false">
      <c r="A647" s="2" t="n">
        <v>800646</v>
      </c>
      <c r="B647" s="2" t="s">
        <v>236</v>
      </c>
      <c r="C647" s="2" t="s">
        <v>84</v>
      </c>
      <c r="D647" s="2" t="s">
        <v>85</v>
      </c>
      <c r="E647" s="2" t="s">
        <v>124</v>
      </c>
      <c r="F647" s="2" t="s">
        <v>35</v>
      </c>
      <c r="G647" s="2" t="s">
        <v>125</v>
      </c>
      <c r="H647" s="2" t="s">
        <v>26</v>
      </c>
      <c r="I647" s="2" t="s">
        <v>27</v>
      </c>
      <c r="J647" s="2" t="s">
        <v>28</v>
      </c>
      <c r="K647" s="2" t="s">
        <v>29</v>
      </c>
      <c r="L647" s="2" t="s">
        <v>82</v>
      </c>
      <c r="M647" s="2" t="n">
        <v>284</v>
      </c>
      <c r="N647" s="3" t="n">
        <v>30</v>
      </c>
      <c r="O647" s="4" t="n">
        <v>27.95</v>
      </c>
      <c r="P647" s="5" t="n">
        <v>7.5</v>
      </c>
      <c r="Q647" s="2" t="n">
        <v>2</v>
      </c>
      <c r="R647" s="4" t="n">
        <f aca="false">M647*O647</f>
        <v>7937.8</v>
      </c>
      <c r="S647" s="4" t="n">
        <f aca="false">R647*(P647/100)</f>
        <v>595.335</v>
      </c>
      <c r="T647" s="4" t="n">
        <f aca="false">R647-S647</f>
        <v>7342.465</v>
      </c>
    </row>
    <row r="648" customFormat="false" ht="15" hidden="false" customHeight="false" outlineLevel="0" collapsed="false">
      <c r="A648" s="2" t="n">
        <v>800647</v>
      </c>
      <c r="B648" s="2" t="s">
        <v>342</v>
      </c>
      <c r="C648" s="2" t="s">
        <v>32</v>
      </c>
      <c r="D648" s="2" t="s">
        <v>151</v>
      </c>
      <c r="E648" s="2" t="s">
        <v>152</v>
      </c>
      <c r="F648" s="2" t="s">
        <v>78</v>
      </c>
      <c r="G648" s="2" t="s">
        <v>52</v>
      </c>
      <c r="H648" s="2" t="s">
        <v>26</v>
      </c>
      <c r="I648" s="2" t="s">
        <v>69</v>
      </c>
      <c r="J648" s="2" t="s">
        <v>202</v>
      </c>
      <c r="K648" s="2" t="s">
        <v>39</v>
      </c>
      <c r="L648" s="2" t="s">
        <v>64</v>
      </c>
      <c r="M648" s="2" t="n">
        <v>263</v>
      </c>
      <c r="N648" s="3" t="n">
        <v>20</v>
      </c>
      <c r="O648" s="4" t="n">
        <v>17.6</v>
      </c>
      <c r="P648" s="5" t="n">
        <v>0</v>
      </c>
      <c r="Q648" s="2" t="n">
        <v>1</v>
      </c>
      <c r="R648" s="4" t="n">
        <f aca="false">M648*O648</f>
        <v>4628.8</v>
      </c>
      <c r="S648" s="4" t="n">
        <f aca="false">R648*(P648/100)</f>
        <v>0</v>
      </c>
      <c r="T648" s="4" t="n">
        <f aca="false">R648-S648</f>
        <v>4628.8</v>
      </c>
    </row>
    <row r="649" customFormat="false" ht="15" hidden="false" customHeight="false" outlineLevel="0" collapsed="false">
      <c r="A649" s="2" t="n">
        <v>800648</v>
      </c>
      <c r="B649" s="2" t="s">
        <v>333</v>
      </c>
      <c r="C649" s="2" t="s">
        <v>41</v>
      </c>
      <c r="D649" s="2" t="s">
        <v>49</v>
      </c>
      <c r="E649" s="2" t="s">
        <v>80</v>
      </c>
      <c r="F649" s="2" t="s">
        <v>87</v>
      </c>
      <c r="G649" s="2" t="s">
        <v>143</v>
      </c>
      <c r="H649" s="2" t="s">
        <v>26</v>
      </c>
      <c r="I649" s="2" t="s">
        <v>57</v>
      </c>
      <c r="J649" s="2" t="s">
        <v>58</v>
      </c>
      <c r="K649" s="2" t="s">
        <v>59</v>
      </c>
      <c r="L649" s="2" t="s">
        <v>60</v>
      </c>
      <c r="M649" s="2" t="n">
        <v>372</v>
      </c>
      <c r="N649" s="3" t="n">
        <v>20</v>
      </c>
      <c r="O649" s="4" t="n">
        <v>19.61</v>
      </c>
      <c r="P649" s="5" t="n">
        <v>12.5</v>
      </c>
      <c r="Q649" s="2" t="n">
        <v>1</v>
      </c>
      <c r="R649" s="4" t="n">
        <f aca="false">M649*O649</f>
        <v>7294.92</v>
      </c>
      <c r="S649" s="4" t="n">
        <f aca="false">R649*(P649/100)</f>
        <v>911.865</v>
      </c>
      <c r="T649" s="4" t="n">
        <f aca="false">R649-S649</f>
        <v>6383.055</v>
      </c>
    </row>
    <row r="650" customFormat="false" ht="15" hidden="false" customHeight="false" outlineLevel="0" collapsed="false">
      <c r="A650" s="2" t="n">
        <v>800649</v>
      </c>
      <c r="B650" s="2" t="s">
        <v>260</v>
      </c>
      <c r="C650" s="2" t="s">
        <v>32</v>
      </c>
      <c r="D650" s="2" t="s">
        <v>76</v>
      </c>
      <c r="E650" s="2" t="s">
        <v>96</v>
      </c>
      <c r="F650" s="2" t="s">
        <v>51</v>
      </c>
      <c r="G650" s="2" t="s">
        <v>125</v>
      </c>
      <c r="H650" s="2" t="s">
        <v>26</v>
      </c>
      <c r="I650" s="2" t="s">
        <v>57</v>
      </c>
      <c r="J650" s="2" t="s">
        <v>104</v>
      </c>
      <c r="K650" s="2" t="s">
        <v>59</v>
      </c>
      <c r="L650" s="2" t="s">
        <v>30</v>
      </c>
      <c r="M650" s="2" t="n">
        <v>461</v>
      </c>
      <c r="N650" s="3" t="n">
        <v>25</v>
      </c>
      <c r="O650" s="4" t="n">
        <v>23.1</v>
      </c>
      <c r="P650" s="5" t="n">
        <v>2</v>
      </c>
      <c r="Q650" s="2" t="n">
        <v>2</v>
      </c>
      <c r="R650" s="4" t="n">
        <f aca="false">M650*O650</f>
        <v>10649.1</v>
      </c>
      <c r="S650" s="4" t="n">
        <f aca="false">R650*(P650/100)</f>
        <v>212.982</v>
      </c>
      <c r="T650" s="4" t="n">
        <f aca="false">R650-S650</f>
        <v>10436.118</v>
      </c>
    </row>
    <row r="651" customFormat="false" ht="15" hidden="false" customHeight="false" outlineLevel="0" collapsed="false">
      <c r="A651" s="2" t="n">
        <v>800650</v>
      </c>
      <c r="B651" s="2" t="s">
        <v>231</v>
      </c>
      <c r="C651" s="2" t="s">
        <v>21</v>
      </c>
      <c r="D651" s="2" t="s">
        <v>116</v>
      </c>
      <c r="E651" s="2" t="s">
        <v>170</v>
      </c>
      <c r="F651" s="2" t="s">
        <v>78</v>
      </c>
      <c r="G651" s="2" t="s">
        <v>143</v>
      </c>
      <c r="H651" s="2" t="s">
        <v>26</v>
      </c>
      <c r="I651" s="2" t="s">
        <v>57</v>
      </c>
      <c r="J651" s="2" t="s">
        <v>104</v>
      </c>
      <c r="K651" s="2" t="s">
        <v>59</v>
      </c>
      <c r="L651" s="2" t="s">
        <v>47</v>
      </c>
      <c r="M651" s="2" t="n">
        <v>209</v>
      </c>
      <c r="N651" s="3" t="n">
        <v>25</v>
      </c>
      <c r="O651" s="4" t="n">
        <v>23.25</v>
      </c>
      <c r="P651" s="5" t="n">
        <v>0</v>
      </c>
      <c r="Q651" s="2" t="n">
        <v>3</v>
      </c>
      <c r="R651" s="4" t="n">
        <f aca="false">M651*O651</f>
        <v>4859.25</v>
      </c>
      <c r="S651" s="4" t="n">
        <f aca="false">R651*(P651/100)</f>
        <v>0</v>
      </c>
      <c r="T651" s="4" t="n">
        <f aca="false">R651-S651</f>
        <v>4859.25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2026-09-27T06:23:16Z</dcterms:created>
  <dc:creator>openpyxl</dc:creator>
  <dc:description/>
  <dc:language>en-US</dc:language>
  <cp:lastModifiedBy/>
  <dcterms:modified xsi:type="dcterms:W3CDTF">2026-09-27T06:23:16Z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